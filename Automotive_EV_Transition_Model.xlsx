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llahamirmalik/Documents/"/>
    </mc:Choice>
  </mc:AlternateContent>
  <xr:revisionPtr revIDLastSave="0" documentId="13_ncr:1_{678BAFE9-51CB-7340-8F7C-7137C63FE5D4}" xr6:coauthVersionLast="47" xr6:coauthVersionMax="47" xr10:uidLastSave="{00000000-0000-0000-0000-000000000000}"/>
  <bookViews>
    <workbookView xWindow="680" yWindow="680" windowWidth="34200" windowHeight="19760" activeTab="3" xr2:uid="{467A2C0D-7D39-F24D-B309-35910380A32A}"/>
  </bookViews>
  <sheets>
    <sheet name="1_Raw_Data" sheetId="12" r:id="rId1"/>
    <sheet name="2_KPI_Analysis" sheetId="11" r:id="rId2"/>
    <sheet name="3_Pivot_Analysis" sheetId="14" r:id="rId3"/>
    <sheet name="4_Strategic_Analysis" sheetId="1" r:id="rId4"/>
    <sheet name="5_Scenario_Analysis" sheetId="15" r:id="rId5"/>
  </sheets>
  <definedNames>
    <definedName name="ExternalData_1" localSheetId="0" hidden="1">'1_Raw_Data'!$A$1:$J$26</definedName>
  </definedNames>
  <calcPr calcId="181029"/>
  <pivotCaches>
    <pivotCache cacheId="6" r:id="rId6"/>
    <pivotCache cacheId="2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1" l="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" i="11"/>
  <c r="D11" i="15"/>
  <c r="D12" i="15"/>
  <c r="D13" i="15"/>
  <c r="D14" i="15"/>
  <c r="D10" i="15"/>
  <c r="B2" i="11"/>
  <c r="B3" i="11"/>
  <c r="B4" i="11"/>
  <c r="B5" i="11"/>
  <c r="B6" i="11"/>
  <c r="B7" i="11"/>
  <c r="B8" i="11"/>
  <c r="B9" i="11"/>
  <c r="B10" i="11"/>
  <c r="B11" i="11"/>
  <c r="B12" i="11"/>
  <c r="C12" i="11" s="1"/>
  <c r="B13" i="11"/>
  <c r="C13" i="11" s="1"/>
  <c r="B14" i="11"/>
  <c r="C14" i="11" s="1"/>
  <c r="K14" i="11" s="1"/>
  <c r="B15" i="11"/>
  <c r="C15" i="11" s="1"/>
  <c r="K15" i="11" s="1"/>
  <c r="B16" i="11"/>
  <c r="C16" i="11" s="1"/>
  <c r="K16" i="11" s="1"/>
  <c r="B17" i="11"/>
  <c r="C17" i="11" s="1"/>
  <c r="B18" i="11"/>
  <c r="C18" i="11" s="1"/>
  <c r="K18" i="11" s="1"/>
  <c r="B19" i="11"/>
  <c r="C19" i="11" s="1"/>
  <c r="K19" i="11" s="1"/>
  <c r="B20" i="11"/>
  <c r="C20" i="11" s="1"/>
  <c r="K20" i="11" s="1"/>
  <c r="B21" i="11"/>
  <c r="C21" i="11" s="1"/>
  <c r="K21" i="11" s="1"/>
  <c r="B22" i="11"/>
  <c r="C22" i="11" s="1"/>
  <c r="B23" i="11"/>
  <c r="C23" i="11" s="1"/>
  <c r="K23" i="11" s="1"/>
  <c r="B24" i="11"/>
  <c r="C24" i="11" s="1"/>
  <c r="K24" i="11" s="1"/>
  <c r="B25" i="11"/>
  <c r="C25" i="11" s="1"/>
  <c r="K25" i="11" s="1"/>
  <c r="B26" i="11"/>
  <c r="A2" i="11"/>
  <c r="A22" i="11"/>
  <c r="A23" i="11"/>
  <c r="A24" i="11"/>
  <c r="A25" i="11"/>
  <c r="A26" i="11"/>
  <c r="A17" i="11"/>
  <c r="A18" i="11"/>
  <c r="A19" i="11"/>
  <c r="A20" i="11"/>
  <c r="A21" i="11"/>
  <c r="A12" i="11"/>
  <c r="A13" i="11"/>
  <c r="A14" i="11"/>
  <c r="A15" i="11"/>
  <c r="A16" i="11"/>
  <c r="A7" i="11"/>
  <c r="A8" i="11"/>
  <c r="A9" i="11"/>
  <c r="A10" i="11"/>
  <c r="A11" i="11"/>
  <c r="A3" i="11"/>
  <c r="A4" i="11"/>
  <c r="C4" i="11" s="1"/>
  <c r="A5" i="11"/>
  <c r="C5" i="11" s="1"/>
  <c r="K5" i="11" s="1"/>
  <c r="A6" i="11"/>
  <c r="C6" i="11" s="1"/>
  <c r="K7" i="11"/>
  <c r="K12" i="11"/>
  <c r="K17" i="11"/>
  <c r="K22" i="11"/>
  <c r="I4" i="11"/>
  <c r="I5" i="11"/>
  <c r="I6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F4" i="11"/>
  <c r="F5" i="11"/>
  <c r="F6" i="11"/>
  <c r="F12" i="11"/>
  <c r="F13" i="11"/>
  <c r="F14" i="11"/>
  <c r="F15" i="11"/>
  <c r="F16" i="11"/>
  <c r="F18" i="11"/>
  <c r="F19" i="11"/>
  <c r="F20" i="11"/>
  <c r="F21" i="11"/>
  <c r="F22" i="11"/>
  <c r="F23" i="11"/>
  <c r="F24" i="11"/>
  <c r="F25" i="11"/>
  <c r="E3" i="11"/>
  <c r="E4" i="11"/>
  <c r="E5" i="11"/>
  <c r="E6" i="11"/>
  <c r="E7" i="11"/>
  <c r="E8" i="11"/>
  <c r="E12" i="11"/>
  <c r="E13" i="11"/>
  <c r="E14" i="11"/>
  <c r="E15" i="11"/>
  <c r="E16" i="11"/>
  <c r="E18" i="11"/>
  <c r="E19" i="11"/>
  <c r="E20" i="11"/>
  <c r="E21" i="11"/>
  <c r="E22" i="11"/>
  <c r="E23" i="11"/>
  <c r="E24" i="11"/>
  <c r="E25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8" i="11"/>
  <c r="D19" i="11"/>
  <c r="D20" i="11"/>
  <c r="D21" i="11"/>
  <c r="D22" i="11"/>
  <c r="D23" i="11"/>
  <c r="D24" i="11"/>
  <c r="D25" i="11"/>
  <c r="C7" i="11"/>
  <c r="C8" i="11"/>
  <c r="K8" i="11" s="1"/>
  <c r="C9" i="11"/>
  <c r="K9" i="11" s="1"/>
  <c r="C10" i="11"/>
  <c r="K10" i="11" s="1"/>
  <c r="C11" i="11"/>
  <c r="K11" i="11" s="1"/>
  <c r="J24" i="11" l="1"/>
  <c r="J12" i="11"/>
  <c r="J22" i="11"/>
  <c r="J13" i="11"/>
  <c r="J14" i="11"/>
  <c r="J17" i="11"/>
  <c r="J18" i="11"/>
  <c r="J19" i="11"/>
  <c r="J20" i="11"/>
  <c r="J21" i="11"/>
  <c r="J25" i="11"/>
  <c r="J23" i="11"/>
  <c r="J15" i="11"/>
  <c r="J16" i="11"/>
  <c r="K13" i="11"/>
  <c r="K2" i="11"/>
  <c r="I2" i="11"/>
  <c r="H25" i="11"/>
  <c r="F17" i="11"/>
  <c r="E17" i="11"/>
  <c r="D17" i="11"/>
  <c r="G17" i="11" s="1"/>
  <c r="F7" i="11"/>
  <c r="H7" i="11" s="1"/>
  <c r="I7" i="11"/>
  <c r="J7" i="11" s="1"/>
  <c r="F8" i="11"/>
  <c r="H8" i="11" s="1"/>
  <c r="I8" i="11"/>
  <c r="J8" i="11" s="1"/>
  <c r="I9" i="11"/>
  <c r="J9" i="11" s="1"/>
  <c r="E9" i="11"/>
  <c r="F9" i="11"/>
  <c r="H9" i="11" s="1"/>
  <c r="F10" i="11"/>
  <c r="E10" i="11"/>
  <c r="I10" i="11"/>
  <c r="J10" i="11" s="1"/>
  <c r="E11" i="11"/>
  <c r="I11" i="11"/>
  <c r="J11" i="11" s="1"/>
  <c r="F11" i="11"/>
  <c r="H11" i="11" s="1"/>
  <c r="I3" i="11"/>
  <c r="F3" i="11"/>
  <c r="H3" i="11" s="1"/>
  <c r="D3" i="11"/>
  <c r="G3" i="11" s="1"/>
  <c r="C3" i="11"/>
  <c r="K4" i="11" s="1"/>
  <c r="J5" i="11"/>
  <c r="K6" i="11"/>
  <c r="J4" i="11"/>
  <c r="J6" i="11"/>
  <c r="H4" i="11"/>
  <c r="H5" i="11"/>
  <c r="H6" i="11"/>
  <c r="H24" i="11"/>
  <c r="G24" i="11"/>
  <c r="H12" i="11"/>
  <c r="H13" i="11"/>
  <c r="H14" i="11"/>
  <c r="H15" i="11"/>
  <c r="H16" i="11"/>
  <c r="H18" i="11"/>
  <c r="H19" i="11"/>
  <c r="G25" i="11"/>
  <c r="H20" i="11"/>
  <c r="H21" i="11"/>
  <c r="H22" i="11"/>
  <c r="H23" i="11"/>
  <c r="G23" i="11"/>
  <c r="G4" i="11"/>
  <c r="G5" i="11"/>
  <c r="G6" i="11"/>
  <c r="C6" i="15" s="1"/>
  <c r="G7" i="11"/>
  <c r="G8" i="11"/>
  <c r="G9" i="11"/>
  <c r="G10" i="11"/>
  <c r="G19" i="11"/>
  <c r="G22" i="11"/>
  <c r="G11" i="11"/>
  <c r="G12" i="11"/>
  <c r="G13" i="11"/>
  <c r="G14" i="11"/>
  <c r="G15" i="11"/>
  <c r="G16" i="11"/>
  <c r="G18" i="11"/>
  <c r="G20" i="11"/>
  <c r="G21" i="11"/>
  <c r="C26" i="11"/>
  <c r="D26" i="11"/>
  <c r="F26" i="11"/>
  <c r="E26" i="11"/>
  <c r="D2" i="11"/>
  <c r="E2" i="11"/>
  <c r="F2" i="11"/>
  <c r="C2" i="11"/>
  <c r="H17" i="11" l="1"/>
  <c r="G26" i="11"/>
  <c r="K26" i="11"/>
  <c r="J26" i="11"/>
  <c r="H10" i="11"/>
  <c r="J3" i="11"/>
  <c r="K3" i="11"/>
  <c r="J2" i="11"/>
  <c r="H26" i="11"/>
  <c r="H2" i="11"/>
  <c r="G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45DD46-E678-0C4D-BA35-A3E050C42B91}" keepAlive="1" name="Query - clean_automotive_dataset" description="Connection to the 'clean_automotive_dataset' query in the workbook." type="5" refreshedVersion="8" background="1" saveData="1">
    <dbPr connection="Provider=Microsoft.Mashup.OleDb.1;Data Source=$Workbook$;Location=clean_automotive_dataset;Extended Properties=&quot;&quot;" command="SELECT * FROM [clean_automotive_dataset]"/>
  </connection>
  <connection id="2" xr16:uid="{1CA0505E-8CF2-4C40-92E0-4B573CF5B433}" keepAlive="1" name="Query - Cleaned_Data" description="Connection to the 'Cleaned_Data' query in the workbook." type="5" refreshedVersion="0" background="1">
    <dbPr connection="Provider=Microsoft.Mashup.OleDb.1;Data Source=$Workbook$;Location=Cleaned_Data;Extended Properties=&quot;&quot;" command="SELECT * FROM [Cleaned_Data]"/>
  </connection>
  <connection id="3" xr16:uid="{77963E2F-9177-1449-8865-958FD816CC91}" keepAlive="1" name="Query - Cleaned_Data (2)" description="Connection to the 'Cleaned_Data (2)' query in the workbook." type="5" refreshedVersion="0" background="1">
    <dbPr connection="Provider=Microsoft.Mashup.OleDb.1;Data Source=$Workbook$;Location=&quot;Cleaned_Data (2)&quot;;Extended Properties=&quot;&quot;" command="SELECT * FROM [Cleaned_Data (2)]"/>
  </connection>
  <connection id="4" xr16:uid="{8A20FE3E-6EFF-D042-ADE1-4602E488B7FF}" keepAlive="1" name="Query - Cleaned_Data (3)" description="Connection to the 'Cleaned_Data (3)' query in the workbook." type="5" refreshedVersion="8" background="1" saveData="1">
    <dbPr connection="Provider=Microsoft.Mashup.OleDb.1;Data Source=$Workbook$;Location=&quot;Cleaned_Data (3)&quot;;Extended Properties=&quot;&quot;" command="SELECT * FROM [Cleaned_Data (3)]"/>
  </connection>
  <connection id="5" xr16:uid="{E5983034-55BD-DE43-96B3-191107128020}" keepAlive="1" name="Query - Cleaned_Data (4)" description="Connection to the 'Cleaned_Data (4)' query in the workbook." type="5" refreshedVersion="0" background="1">
    <dbPr connection="Provider=Microsoft.Mashup.OleDb.1;Data Source=$Workbook$;Location=&quot;Cleaned_Data (4)&quot;;Extended Properties=&quot;&quot;" command="SELECT * FROM [Cleaned_Data (4)]"/>
  </connection>
  <connection id="6" xr16:uid="{2DD22C52-8A9C-924F-A935-15E41E8D2E7E}" keepAlive="1" name="Query - Cleaned_Data (5)" description="Connection to the 'Cleaned_Data (5)' query in the workbook." type="5" refreshedVersion="8" background="1" saveData="1">
    <dbPr connection="Provider=Microsoft.Mashup.OleDb.1;Data Source=$Workbook$;Location=&quot;Cleaned_Data (5)&quot;;Extended Properties=&quot;&quot;" command="SELECT * FROM [Cleaned_Data (5)]"/>
  </connection>
  <connection id="7" xr16:uid="{EAD47391-AD89-3B43-91F6-77DAEDAC0BA1}" keepAlive="1" name="Query - Cleaned_Data (6)" description="Connection to the 'Cleaned_Data (6)' query in the workbook." type="5" refreshedVersion="0" background="1">
    <dbPr connection="Provider=Microsoft.Mashup.OleDb.1;Data Source=$Workbook$;Location=&quot;Cleaned_Data (6)&quot;;Extended Properties=&quot;&quot;" command="SELECT * FROM [Cleaned_Data (6)]"/>
  </connection>
  <connection id="8" xr16:uid="{95D51100-8D74-3942-9BC7-789931AB473D}" keepAlive="1" name="Query - Cleaned_Data (7)" description="Connection to the 'Cleaned_Data (7)' query in the workbook." type="5" refreshedVersion="0" background="1">
    <dbPr connection="Provider=Microsoft.Mashup.OleDb.1;Data Source=$Workbook$;Location=&quot;Cleaned_Data (7)&quot;;Extended Properties=&quot;&quot;" command="SELECT * FROM [Cleaned_Data (7)]"/>
  </connection>
  <connection id="9" xr16:uid="{477A4CDB-43BE-FF4D-B60E-449641FB2AB4}" keepAlive="1" name="Query - Cleaned_Data (8)" description="Connection to the 'Cleaned_Data (8)' query in the workbook." type="5" refreshedVersion="0" background="1">
    <dbPr connection="Provider=Microsoft.Mashup.OleDb.1;Data Source=$Workbook$;Location=&quot;Cleaned_Data (8)&quot;;Extended Properties=&quot;&quot;" command="SELECT * FROM [Cleaned_Data (8)]"/>
  </connection>
</connections>
</file>

<file path=xl/sharedStrings.xml><?xml version="1.0" encoding="utf-8"?>
<sst xmlns="http://schemas.openxmlformats.org/spreadsheetml/2006/main" count="138" uniqueCount="60">
  <si>
    <t>Year</t>
  </si>
  <si>
    <t>Reporting_Standard</t>
  </si>
  <si>
    <t>Total_Deliveries</t>
  </si>
  <si>
    <t>BEV_Deliveries</t>
  </si>
  <si>
    <t>BMW</t>
  </si>
  <si>
    <t>IFRS</t>
  </si>
  <si>
    <t>Mercedes-Benz</t>
  </si>
  <si>
    <t>Volkswagen</t>
  </si>
  <si>
    <t>Porsche</t>
  </si>
  <si>
    <t>Tesla</t>
  </si>
  <si>
    <t>US-GAAP</t>
  </si>
  <si>
    <t>Company</t>
  </si>
  <si>
    <t>Revenue_EUR</t>
  </si>
  <si>
    <t>EBIT_EUR</t>
  </si>
  <si>
    <t>CapEx_EUR</t>
  </si>
  <si>
    <t>RnD_EUR</t>
  </si>
  <si>
    <t>Lithium_Price_USD</t>
  </si>
  <si>
    <t>EBIT Margin %</t>
  </si>
  <si>
    <t>EV Mix %</t>
  </si>
  <si>
    <t>Revenue (EUR)</t>
  </si>
  <si>
    <t>EBIT (EUR)</t>
  </si>
  <si>
    <t>Total Deliveries (Units)</t>
  </si>
  <si>
    <t>BEV Deliveries (Units)</t>
  </si>
  <si>
    <t>Row Labels</t>
  </si>
  <si>
    <t>Grand Total</t>
  </si>
  <si>
    <t>Column Labels</t>
  </si>
  <si>
    <t>Average of EBIT Margin %</t>
  </si>
  <si>
    <t>Average of Revenue (EUR)</t>
  </si>
  <si>
    <t>CapEx (EUR)</t>
  </si>
  <si>
    <t>CapEx Intensity %</t>
  </si>
  <si>
    <t>Average of CapEx Intensity %</t>
  </si>
  <si>
    <t>Average of EV Mix %</t>
  </si>
  <si>
    <t>Revenue Growth (%)</t>
  </si>
  <si>
    <t>BMW led the legacy OEM transition, aggressively expanding its EV mix from 4.1% to 16.7% (2021–2025). Tesla maintained a pure-play 100% BEV baseline, acting as the industry benchmark.</t>
  </si>
  <si>
    <r>
      <rPr>
        <b/>
        <sz val="16"/>
        <color theme="1"/>
        <rFont val="Aptos Narrow (Body)"/>
      </rPr>
      <t>CORE STRATEGIC INQUIRY</t>
    </r>
    <r>
      <rPr>
        <sz val="16"/>
        <color theme="1"/>
        <rFont val="Aptos Narrow (Body)"/>
      </rPr>
      <t>: Which manufacturer is executing the EV transition most effectively while maintaining operational profitability?</t>
    </r>
  </si>
  <si>
    <t>EV Adoption Velocity</t>
  </si>
  <si>
    <t>Margin Retention vs. Transition</t>
  </si>
  <si>
    <t>BMW successfully utilized flexible manufacturing architectures (producing ICE and BEV on shared lines) to scale EV production while minimizing EBIT margin compression, outperforming Mercedes-Benz in baseline margin retention by 2025.</t>
  </si>
  <si>
    <t>Capital Intensity &amp; Scale</t>
  </si>
  <si>
    <t>Volkswagen executed the most capital-intensive transition, pushing CapEx intensity up to 4.6% to completely overhaul legacy architectures and build dedicated battery infrastructure. This heavy investment cycle directly correlated with a margin contraction to 2.7% by 2025, prioritizing long-term scale over short-term profitability.</t>
  </si>
  <si>
    <t>Conclusion</t>
  </si>
  <si>
    <t>Model Assumption:</t>
  </si>
  <si>
    <t>McKinsey Center for Future Mobility (Battery Pack Cost Breakthroughs)</t>
  </si>
  <si>
    <t>Target Company:</t>
  </si>
  <si>
    <t>BMW (2025 Baseline)</t>
  </si>
  <si>
    <t>Baseline EBIT Margin:</t>
  </si>
  <si>
    <t>Battery Cost Shift</t>
  </si>
  <si>
    <t>Market Scenario</t>
  </si>
  <si>
    <t>Breakthrough (LFP/Solid State)</t>
  </si>
  <si>
    <t>Scale Efficiencies Achieved</t>
  </si>
  <si>
    <t>Current Baseline</t>
  </si>
  <si>
    <t>Raw Material Shortage</t>
  </si>
  <si>
    <t>Global Supply Chain Crisis</t>
  </si>
  <si>
    <t>Adjusted EBIT Margin (%)</t>
  </si>
  <si>
    <t>Source (inspiration for scenario):</t>
  </si>
  <si>
    <t xml:space="preserve">%change in </t>
  </si>
  <si>
    <t>Battery pack cost accounts for 35% of total manufacturing cost (COGS):</t>
  </si>
  <si>
    <t>BMW appears to demonstrate one of the most balanced EV transition strategies among legacy OEMs, combining rising EV penetration with relatively resilient operating margins.</t>
  </si>
  <si>
    <t>R&amp;D EUR</t>
  </si>
  <si>
    <t>R&amp;D Intensity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</si>
</sst>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u/>
      <sz val="12"/>
      <color theme="10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 (Body)"/>
    </font>
    <font>
      <b/>
      <sz val="16"/>
      <color theme="1"/>
      <name val="Aptos Narrow (Body)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NumberFormat="1"/>
    <xf numFmtId="0" fontId="1" fillId="0" borderId="0" xfId="0" applyFon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6" fillId="0" borderId="0" xfId="0" applyFont="1"/>
    <xf numFmtId="0" fontId="4" fillId="0" borderId="0" xfId="0" applyFont="1" applyAlignment="1">
      <alignment wrapText="1"/>
    </xf>
    <xf numFmtId="0" fontId="2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lah Amir Malik" refreshedDate="46194.620591782405" createdVersion="8" refreshedVersion="8" minRefreshableVersion="3" recordCount="25" xr:uid="{D47FCDDD-97D9-6B46-BF07-1F7C7A2DA234}">
  <cacheSource type="worksheet">
    <worksheetSource ref="A1:H26" sheet="2_KPI_Analysis"/>
  </cacheSource>
  <cacheFields count="8">
    <cacheField name="Company" numFmtId="0">
      <sharedItems count="5">
        <s v="BMW"/>
        <s v="Mercedes-Benz"/>
        <s v="Volkswagen"/>
        <s v="Porsche"/>
        <s v="Tesla"/>
      </sharedItems>
    </cacheField>
    <cacheField name="Year" numFmtId="0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</cacheField>
    <cacheField name="Revenue (EUR)" numFmtId="0">
      <sharedItems containsSemiMixedTypes="0" containsString="0" containsNumber="1" minValue="33138" maxValue="324656"/>
    </cacheField>
    <cacheField name="EBIT (EUR)" numFmtId="0">
      <sharedItems containsSemiMixedTypes="0" containsString="0" containsNumber="1" minValue="4910" maxValue="23509"/>
    </cacheField>
    <cacheField name="Total Deliveries (Units)" numFmtId="0">
      <sharedItems containsSemiMixedTypes="0" containsString="0" containsNumber="1" containsInteger="1" minValue="291500" maxValue="9240000"/>
    </cacheField>
    <cacheField name="BEV Deliveries (Units)" numFmtId="0">
      <sharedItems containsSemiMixedTypes="0" containsString="0" containsNumber="1" containsInteger="1" minValue="32100" maxValue="2110400"/>
    </cacheField>
    <cacheField name="EBIT Margin %" numFmtId="10">
      <sharedItems containsSemiMixedTypes="0" containsString="0" containsNumber="1" minValue="2.7547815714183646E-2" maxValue="0.17990964655859687"/>
    </cacheField>
    <cacheField name="EV Mix %" numFmtId="10">
      <sharedItems containsSemiMixedTypes="0" containsString="0" containsNumber="1" minValue="4.1187556364945824E-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lah Amir Malik" refreshedDate="46194.637762847226" createdVersion="8" refreshedVersion="8" minRefreshableVersion="3" recordCount="25" xr:uid="{236B8336-1C1F-804B-BB58-34506A05FE50}">
  <cacheSource type="worksheet">
    <worksheetSource ref="A1:J26" sheet="2_KPI_Analysis"/>
  </cacheSource>
  <cacheFields count="10">
    <cacheField name="Company" numFmtId="0">
      <sharedItems count="5">
        <s v="BMW"/>
        <s v="Mercedes-Benz"/>
        <s v="Volkswagen"/>
        <s v="Porsche"/>
        <s v="Tesla"/>
      </sharedItems>
    </cacheField>
    <cacheField name="Year" numFmtId="0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</cacheField>
    <cacheField name="Revenue (EUR)" numFmtId="0">
      <sharedItems containsSemiMixedTypes="0" containsString="0" containsNumber="1" minValue="33138" maxValue="324656"/>
    </cacheField>
    <cacheField name="EBIT (EUR)" numFmtId="0">
      <sharedItems containsSemiMixedTypes="0" containsString="0" containsNumber="1" minValue="4910" maxValue="23509"/>
    </cacheField>
    <cacheField name="Total Deliveries (Units)" numFmtId="0">
      <sharedItems containsSemiMixedTypes="0" containsString="0" containsNumber="1" containsInteger="1" minValue="291500" maxValue="9240000"/>
    </cacheField>
    <cacheField name="BEV Deliveries (Units)" numFmtId="0">
      <sharedItems containsSemiMixedTypes="0" containsString="0" containsNumber="1" containsInteger="1" minValue="32100" maxValue="2110400"/>
    </cacheField>
    <cacheField name="EBIT Margin %" numFmtId="10">
      <sharedItems containsSemiMixedTypes="0" containsString="0" containsNumber="1" minValue="2.7547815714183646E-2" maxValue="0.17990964655859687"/>
    </cacheField>
    <cacheField name="EV Mix %" numFmtId="10">
      <sharedItems containsSemiMixedTypes="0" containsString="0" containsNumber="1" minValue="4.1187556364945824E-2" maxValue="1"/>
    </cacheField>
    <cacheField name="CapEx (EUR)" numFmtId="0">
      <sharedItems containsSemiMixedTypes="0" containsString="0" containsNumber="1" minValue="1400" maxValue="16300"/>
    </cacheField>
    <cacheField name="CapEx Intensity %" numFmtId="10">
      <sharedItems containsSemiMixedTypes="0" containsString="0" containsNumber="1" minValue="3.4355791564906306E-2" maxValue="0.120431785667837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111239"/>
    <n v="16060"/>
    <n v="2521514"/>
    <n v="103855"/>
    <n v="0.14437382572658869"/>
    <n v="4.1187556364945824E-2"/>
  </r>
  <r>
    <x v="0"/>
    <x v="1"/>
    <n v="142610"/>
    <n v="23509"/>
    <n v="2399632"/>
    <n v="215752"/>
    <n v="0.16484818736413998"/>
    <n v="8.9910452936116866E-2"/>
  </r>
  <r>
    <x v="0"/>
    <x v="2"/>
    <n v="155498"/>
    <n v="17096"/>
    <n v="2554183"/>
    <n v="376183"/>
    <n v="0.10994353625127011"/>
    <n v="0.14728114626085914"/>
  </r>
  <r>
    <x v="0"/>
    <x v="3"/>
    <n v="142380"/>
    <n v="10236"/>
    <n v="2450814"/>
    <n v="375716"/>
    <n v="7.1892119679730304E-2"/>
    <n v="0.15330253540252339"/>
  </r>
  <r>
    <x v="0"/>
    <x v="4"/>
    <n v="133453"/>
    <n v="9845"/>
    <n v="2463681"/>
    <n v="412350"/>
    <n v="7.3771290266985382E-2"/>
    <n v="0.16737150629484904"/>
  </r>
  <r>
    <x v="1"/>
    <x v="0"/>
    <n v="133893"/>
    <n v="13974"/>
    <n v="2330169"/>
    <n v="99300"/>
    <n v="0.10436691985391319"/>
    <n v="4.2614934796574841E-2"/>
  </r>
  <r>
    <x v="1"/>
    <x v="1"/>
    <n v="150017"/>
    <n v="20458"/>
    <n v="2456700"/>
    <n v="149200"/>
    <n v="0.13637121126272356"/>
    <n v="6.0731876093947167E-2"/>
  </r>
  <r>
    <x v="1"/>
    <x v="2"/>
    <n v="153218"/>
    <n v="19683"/>
    <n v="2491600"/>
    <n v="240660"/>
    <n v="0.12846401858789439"/>
    <n v="9.6588537485952808E-2"/>
  </r>
  <r>
    <x v="1"/>
    <x v="3"/>
    <n v="149150"/>
    <n v="14210"/>
    <n v="2374200"/>
    <n v="224100"/>
    <n v="9.527321488434462E-2"/>
    <n v="9.4389689158453374E-2"/>
  </r>
  <r>
    <x v="1"/>
    <x v="4"/>
    <n v="141800"/>
    <n v="11350"/>
    <n v="2351000"/>
    <n v="201400"/>
    <n v="8.0042313117066291E-2"/>
    <n v="8.5665674181199483E-2"/>
  </r>
  <r>
    <x v="2"/>
    <x v="0"/>
    <n v="250200"/>
    <n v="19275"/>
    <n v="8882000"/>
    <n v="452900"/>
    <n v="7.7038369304556362E-2"/>
    <n v="5.0990767845079936E-2"/>
  </r>
  <r>
    <x v="2"/>
    <x v="1"/>
    <n v="279232"/>
    <n v="22124"/>
    <n v="8262800"/>
    <n v="572100"/>
    <n v="7.9231606692642675E-2"/>
    <n v="6.9238030691775185E-2"/>
  </r>
  <r>
    <x v="2"/>
    <x v="2"/>
    <n v="322284"/>
    <n v="22576"/>
    <n v="9239500"/>
    <n v="771100"/>
    <n v="7.0050017996549627E-2"/>
    <n v="8.3456897018236914E-2"/>
  </r>
  <r>
    <x v="2"/>
    <x v="3"/>
    <n v="324656"/>
    <n v="19060"/>
    <n v="9240000"/>
    <n v="771000"/>
    <n v="5.8708294317677788E-2"/>
    <n v="8.3441558441558442E-2"/>
  </r>
  <r>
    <x v="2"/>
    <x v="4"/>
    <n v="321913"/>
    <n v="8868"/>
    <n v="8950000"/>
    <n v="710000"/>
    <n v="2.7547815714183646E-2"/>
    <n v="7.9329608938547486E-2"/>
  </r>
  <r>
    <x v="3"/>
    <x v="0"/>
    <n v="33138"/>
    <n v="5314"/>
    <n v="301915"/>
    <n v="41296"/>
    <n v="0.16035970788822501"/>
    <n v="0.13678021959823128"/>
  </r>
  <r>
    <x v="3"/>
    <x v="1"/>
    <n v="37630"/>
    <n v="6770"/>
    <n v="309884"/>
    <n v="34801"/>
    <n v="0.17990964655859687"/>
    <n v="0.11230331349795407"/>
  </r>
  <r>
    <x v="3"/>
    <x v="2"/>
    <n v="40530"/>
    <n v="7284"/>
    <n v="320221"/>
    <n v="40629"/>
    <n v="0.17971872686898593"/>
    <n v="0.12687799988133194"/>
  </r>
  <r>
    <x v="3"/>
    <x v="3"/>
    <n v="39810"/>
    <n v="5490"/>
    <n v="297300"/>
    <n v="32100"/>
    <n v="0.13790504898266767"/>
    <n v="0.10797174571140263"/>
  </r>
  <r>
    <x v="3"/>
    <x v="4"/>
    <n v="38420"/>
    <n v="4910"/>
    <n v="291500"/>
    <n v="46300"/>
    <n v="0.12779802186361269"/>
    <n v="0.15883361921097769"/>
  </r>
  <r>
    <x v="4"/>
    <x v="0"/>
    <n v="49517.16"/>
    <n v="6001.16"/>
    <n v="936172"/>
    <n v="936172"/>
    <n v="0.12119354179440016"/>
    <n v="1"/>
  </r>
  <r>
    <x v="4"/>
    <x v="1"/>
    <n v="74945.039999999994"/>
    <n v="12563.52"/>
    <n v="1313851"/>
    <n v="1313851"/>
    <n v="0.16763644398615307"/>
    <n v="1"/>
  </r>
  <r>
    <x v="4"/>
    <x v="2"/>
    <n v="89031.16"/>
    <n v="8179.72"/>
    <n v="1808581"/>
    <n v="1808581"/>
    <n v="9.1874799789197395E-2"/>
    <n v="1"/>
  </r>
  <r>
    <x v="4"/>
    <x v="3"/>
    <n v="90620"/>
    <n v="6808"/>
    <n v="1800580"/>
    <n v="1800580"/>
    <n v="7.5126903553299498E-2"/>
    <n v="1"/>
  </r>
  <r>
    <x v="4"/>
    <x v="4"/>
    <n v="97980"/>
    <n v="8050"/>
    <n v="2110400"/>
    <n v="2110400"/>
    <n v="8.2159624413145546E-2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111239"/>
    <n v="16060"/>
    <n v="2521514"/>
    <n v="103855"/>
    <n v="0.14437382572658869"/>
    <n v="4.1187556364945824E-2"/>
    <n v="5012"/>
    <n v="4.5056140382419833E-2"/>
  </r>
  <r>
    <x v="0"/>
    <x v="1"/>
    <n v="142610"/>
    <n v="23509"/>
    <n v="2399632"/>
    <n v="215752"/>
    <n v="0.16484818736413998"/>
    <n v="8.9910452936116866E-2"/>
    <n v="7179"/>
    <n v="5.0340088352850434E-2"/>
  </r>
  <r>
    <x v="0"/>
    <x v="2"/>
    <n v="155498"/>
    <n v="17096"/>
    <n v="2554183"/>
    <n v="376183"/>
    <n v="0.10994353625127011"/>
    <n v="0.14728114626085914"/>
    <n v="8836"/>
    <n v="5.6823881979189445E-2"/>
  </r>
  <r>
    <x v="0"/>
    <x v="3"/>
    <n v="142380"/>
    <n v="10236"/>
    <n v="2450814"/>
    <n v="375716"/>
    <n v="7.1892119679730304E-2"/>
    <n v="0.15330253540252339"/>
    <n v="8500"/>
    <n v="5.9699395982581824E-2"/>
  </r>
  <r>
    <x v="0"/>
    <x v="4"/>
    <n v="133453"/>
    <n v="9845"/>
    <n v="2463681"/>
    <n v="412350"/>
    <n v="7.3771290266985382E-2"/>
    <n v="0.16737150629484904"/>
    <n v="8100"/>
    <n v="6.0695525765625348E-2"/>
  </r>
  <r>
    <x v="1"/>
    <x v="0"/>
    <n v="133893"/>
    <n v="13974"/>
    <n v="2330169"/>
    <n v="99300"/>
    <n v="0.10436691985391319"/>
    <n v="4.2614934796574841E-2"/>
    <n v="4600"/>
    <n v="3.4355791564906306E-2"/>
  </r>
  <r>
    <x v="1"/>
    <x v="1"/>
    <n v="150017"/>
    <n v="20458"/>
    <n v="2456700"/>
    <n v="149200"/>
    <n v="0.13637121126272356"/>
    <n v="6.0731876093947167E-2"/>
    <n v="5200"/>
    <n v="3.4662738223001394E-2"/>
  </r>
  <r>
    <x v="1"/>
    <x v="2"/>
    <n v="153218"/>
    <n v="19683"/>
    <n v="2491600"/>
    <n v="240660"/>
    <n v="0.12846401858789439"/>
    <n v="9.6588537485952808E-2"/>
    <n v="6300"/>
    <n v="4.1117884321685443E-2"/>
  </r>
  <r>
    <x v="1"/>
    <x v="3"/>
    <n v="149150"/>
    <n v="14210"/>
    <n v="2374200"/>
    <n v="224100"/>
    <n v="9.527321488434462E-2"/>
    <n v="9.4389689158453374E-2"/>
    <n v="6100"/>
    <n v="4.0898424404961449E-2"/>
  </r>
  <r>
    <x v="1"/>
    <x v="4"/>
    <n v="141800"/>
    <n v="11350"/>
    <n v="2351000"/>
    <n v="201400"/>
    <n v="8.0042313117066291E-2"/>
    <n v="8.5665674181199483E-2"/>
    <n v="5800"/>
    <n v="4.0902679830747531E-2"/>
  </r>
  <r>
    <x v="2"/>
    <x v="0"/>
    <n v="250200"/>
    <n v="19275"/>
    <n v="8882000"/>
    <n v="452900"/>
    <n v="7.7038369304556362E-2"/>
    <n v="5.0990767845079936E-2"/>
    <n v="10500"/>
    <n v="4.1966426858513192E-2"/>
  </r>
  <r>
    <x v="2"/>
    <x v="1"/>
    <n v="279232"/>
    <n v="22124"/>
    <n v="8262800"/>
    <n v="572100"/>
    <n v="7.9231606692642675E-2"/>
    <n v="6.9238030691775185E-2"/>
    <n v="12700"/>
    <n v="4.5481893192757278E-2"/>
  </r>
  <r>
    <x v="2"/>
    <x v="2"/>
    <n v="322284"/>
    <n v="22576"/>
    <n v="9239500"/>
    <n v="771100"/>
    <n v="7.0050017996549627E-2"/>
    <n v="8.3456897018236914E-2"/>
    <n v="16300"/>
    <n v="5.0576510158741976E-2"/>
  </r>
  <r>
    <x v="2"/>
    <x v="3"/>
    <n v="324656"/>
    <n v="19060"/>
    <n v="9240000"/>
    <n v="771000"/>
    <n v="5.8708294317677788E-2"/>
    <n v="8.3441558441558442E-2"/>
    <n v="15800"/>
    <n v="4.8666896653688826E-2"/>
  </r>
  <r>
    <x v="2"/>
    <x v="4"/>
    <n v="321913"/>
    <n v="8868"/>
    <n v="8950000"/>
    <n v="710000"/>
    <n v="2.7547815714183646E-2"/>
    <n v="7.9329608938547486E-2"/>
    <n v="15000"/>
    <n v="4.6596440653219967E-2"/>
  </r>
  <r>
    <x v="3"/>
    <x v="0"/>
    <n v="33138"/>
    <n v="5314"/>
    <n v="301915"/>
    <n v="41296"/>
    <n v="0.16035970788822501"/>
    <n v="0.13678021959823128"/>
    <n v="1400"/>
    <n v="4.2247570764681032E-2"/>
  </r>
  <r>
    <x v="3"/>
    <x v="1"/>
    <n v="37630"/>
    <n v="6770"/>
    <n v="309884"/>
    <n v="34801"/>
    <n v="0.17990964655859687"/>
    <n v="0.11230331349795407"/>
    <n v="1800"/>
    <n v="4.7834174860483657E-2"/>
  </r>
  <r>
    <x v="3"/>
    <x v="2"/>
    <n v="40530"/>
    <n v="7284"/>
    <n v="320221"/>
    <n v="40629"/>
    <n v="0.17971872686898593"/>
    <n v="0.12687799988133194"/>
    <n v="2200"/>
    <n v="5.4280779669380705E-2"/>
  </r>
  <r>
    <x v="3"/>
    <x v="3"/>
    <n v="39810"/>
    <n v="5490"/>
    <n v="297300"/>
    <n v="32100"/>
    <n v="0.13790504898266767"/>
    <n v="0.10797174571140263"/>
    <n v="2100"/>
    <n v="5.275056518462698E-2"/>
  </r>
  <r>
    <x v="3"/>
    <x v="4"/>
    <n v="38420"/>
    <n v="4910"/>
    <n v="291500"/>
    <n v="46300"/>
    <n v="0.12779802186361269"/>
    <n v="0.15883361921097769"/>
    <n v="2000"/>
    <n v="5.2056220718375845E-2"/>
  </r>
  <r>
    <x v="4"/>
    <x v="0"/>
    <n v="49517.16"/>
    <n v="6001.16"/>
    <n v="936172"/>
    <n v="936172"/>
    <n v="0.12119354179440016"/>
    <n v="1"/>
    <n v="5963.44"/>
    <n v="0.12043178566783716"/>
  </r>
  <r>
    <x v="4"/>
    <x v="1"/>
    <n v="74945.039999999994"/>
    <n v="12563.52"/>
    <n v="1313851"/>
    <n v="1313851"/>
    <n v="0.16763644398615307"/>
    <n v="1"/>
    <n v="6585.36"/>
    <n v="8.7869190542829795E-2"/>
  </r>
  <r>
    <x v="4"/>
    <x v="2"/>
    <n v="89031.16"/>
    <n v="8179.72"/>
    <n v="1808581"/>
    <n v="1808581"/>
    <n v="9.1874799789197395E-2"/>
    <n v="1"/>
    <n v="8187.08"/>
    <n v="9.1957467475432195E-2"/>
  </r>
  <r>
    <x v="4"/>
    <x v="3"/>
    <n v="90620"/>
    <n v="6808"/>
    <n v="1800580"/>
    <n v="1800580"/>
    <n v="7.5126903553299498E-2"/>
    <n v="1"/>
    <n v="7820"/>
    <n v="8.6294416243654817E-2"/>
  </r>
  <r>
    <x v="4"/>
    <x v="4"/>
    <n v="97980"/>
    <n v="8050"/>
    <n v="2110400"/>
    <n v="2110400"/>
    <n v="8.2159624413145546E-2"/>
    <n v="1"/>
    <n v="8464"/>
    <n v="8.638497652582159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3121B-A8C9-DF42-8EFB-9DD391735C18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7:O24" firstHeaderRow="1" firstDataRow="2" firstDataCol="1"/>
  <pivotFields count="10">
    <pivotField axis="axisRow" showAll="0">
      <items count="6">
        <item x="0"/>
        <item x="1"/>
        <item x="3"/>
        <item x="4"/>
        <item x="2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numFmtId="10" showAll="0"/>
    <pivotField numFmtId="10" showAll="0"/>
    <pivotField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CapEx Intensity %" fld="9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370FE-6928-D94E-A9BE-1D5C5525FFAD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O10" firstHeaderRow="1" firstDataRow="2" firstDataCol="1"/>
  <pivotFields count="8">
    <pivotField axis="axisRow" showAll="0">
      <items count="6">
        <item x="0"/>
        <item x="1"/>
        <item x="3"/>
        <item x="4"/>
        <item x="2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numFmtId="10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EV Mix %" fld="7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433E1-18A1-B442-A0DF-0BF9905D789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G24" firstHeaderRow="1" firstDataRow="2" firstDataCol="1"/>
  <pivotFields count="8">
    <pivotField axis="axisRow" showAll="0">
      <items count="6">
        <item x="0"/>
        <item x="1"/>
        <item x="3"/>
        <item x="4"/>
        <item x="2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numFmtId="10" showAll="0"/>
    <pivotField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Revenue (EUR)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60189-0069-224C-9FC3-FCE835C01FF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2" firstDataCol="1"/>
  <pivotFields count="8">
    <pivotField axis="axisRow" showAll="0">
      <items count="6">
        <item x="0"/>
        <item x="1"/>
        <item x="3"/>
        <item x="4"/>
        <item x="2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numFmtId="10" showAll="0"/>
    <pivotField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EBIT Margin %" fld="6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4BB5AD-041F-2244-BBA8-41E84A1F69F6}" autoFormatId="16" applyNumberFormats="0" applyBorderFormats="0" applyFontFormats="0" applyPatternFormats="0" applyAlignmentFormats="0" applyWidthHeightFormats="0">
  <queryTableRefresh nextId="11">
    <queryTableFields count="10">
      <queryTableField id="1" name="Company" tableColumnId="1"/>
      <queryTableField id="2" name="Year" tableColumnId="2"/>
      <queryTableField id="3" name="Reporting_Standard" tableColumnId="3"/>
      <queryTableField id="4" name="Revenue_EUR" tableColumnId="4"/>
      <queryTableField id="5" name="EBIT_EUR" tableColumnId="5"/>
      <queryTableField id="6" name="CapEx_EUR" tableColumnId="6"/>
      <queryTableField id="7" name="RnD_EUR" tableColumnId="7"/>
      <queryTableField id="8" name="Total_Deliveries" tableColumnId="8"/>
      <queryTableField id="9" name="BEV_Deliveries" tableColumnId="9"/>
      <queryTableField id="10" name="Lithium_Price_US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2C9A401-9BAD-724D-8184-38ACE31C14AC}" name="clean_automotive_dataset" displayName="clean_automotive_dataset" ref="A1:J26" tableType="queryTable" totalsRowShown="0">
  <autoFilter ref="A1:J26" xr:uid="{42C9A401-9BAD-724D-8184-38ACE31C14AC}"/>
  <tableColumns count="10">
    <tableColumn id="1" xr3:uid="{AA99865A-7459-354C-AE19-6202569BEAC1}" uniqueName="1" name="Company" queryTableFieldId="1" dataDxfId="1"/>
    <tableColumn id="2" xr3:uid="{B75C4DC0-71C2-5346-850F-A45F74493CC1}" uniqueName="2" name="Year" queryTableFieldId="2"/>
    <tableColumn id="3" xr3:uid="{D51A1DDC-7C13-D44F-BDBE-B6B01EFE003D}" uniqueName="3" name="Reporting_Standard" queryTableFieldId="3" dataDxfId="0"/>
    <tableColumn id="4" xr3:uid="{BD87B0F7-4AE6-4D47-9F3F-B88A30473EA5}" uniqueName="4" name="Revenue_EUR" queryTableFieldId="4"/>
    <tableColumn id="5" xr3:uid="{17BB4049-13D0-F643-A673-7840DE1CCC4A}" uniqueName="5" name="EBIT_EUR" queryTableFieldId="5"/>
    <tableColumn id="6" xr3:uid="{F7C1C249-AB9E-824D-8842-02A1E4A83B10}" uniqueName="6" name="CapEx_EUR" queryTableFieldId="6"/>
    <tableColumn id="7" xr3:uid="{2D469CFF-E430-5544-8F03-FB4524703134}" uniqueName="7" name="RnD_EUR" queryTableFieldId="7"/>
    <tableColumn id="8" xr3:uid="{88D79705-E8C2-2A4A-B22C-59895A103757}" uniqueName="8" name="Total_Deliveries" queryTableFieldId="8"/>
    <tableColumn id="9" xr3:uid="{B7048DC5-26A2-2F4E-A2B7-5DDEBC734F6B}" uniqueName="9" name="BEV_Deliveries" queryTableFieldId="9"/>
    <tableColumn id="10" xr3:uid="{36FEC82A-688F-5347-8C6A-08508404A652}" uniqueName="10" name="Lithium_Price_US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ckinsey.com/features/mckinsey-center-for-future-mobility/our-insights/the-future-of-affordable-evs-breakthroughs-in-battery-pack-co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59EB-7A54-C248-ACEB-70764E2257CC}">
  <dimension ref="A1:J26"/>
  <sheetViews>
    <sheetView workbookViewId="0">
      <selection activeCell="G34" sqref="G34"/>
    </sheetView>
  </sheetViews>
  <sheetFormatPr baseColWidth="10" defaultRowHeight="16" x14ac:dyDescent="0.2"/>
  <cols>
    <col min="1" max="1" width="13.83203125" bestFit="1" customWidth="1"/>
    <col min="2" max="2" width="7.33203125" bestFit="1" customWidth="1"/>
    <col min="3" max="3" width="20" bestFit="1" customWidth="1"/>
    <col min="4" max="4" width="14.83203125" bestFit="1" customWidth="1"/>
    <col min="5" max="5" width="11.33203125" bestFit="1" customWidth="1"/>
    <col min="6" max="6" width="13" bestFit="1" customWidth="1"/>
    <col min="7" max="7" width="11.33203125" bestFit="1" customWidth="1"/>
    <col min="8" max="8" width="16.83203125" bestFit="1" customWidth="1"/>
    <col min="9" max="9" width="16.1640625" bestFit="1" customWidth="1"/>
    <col min="10" max="10" width="19.6640625" bestFit="1" customWidth="1"/>
  </cols>
  <sheetData>
    <row r="1" spans="1:10" x14ac:dyDescent="0.2">
      <c r="A1" t="s">
        <v>11</v>
      </c>
      <c r="B1" t="s">
        <v>0</v>
      </c>
      <c r="C1" t="s">
        <v>1</v>
      </c>
      <c r="D1" t="s">
        <v>12</v>
      </c>
      <c r="E1" t="s">
        <v>13</v>
      </c>
      <c r="F1" t="s">
        <v>14</v>
      </c>
      <c r="G1" t="s">
        <v>15</v>
      </c>
      <c r="H1" t="s">
        <v>2</v>
      </c>
      <c r="I1" t="s">
        <v>3</v>
      </c>
      <c r="J1" t="s">
        <v>16</v>
      </c>
    </row>
    <row r="2" spans="1:10" x14ac:dyDescent="0.2">
      <c r="A2" s="1" t="s">
        <v>4</v>
      </c>
      <c r="B2">
        <v>2021</v>
      </c>
      <c r="C2" s="1" t="s">
        <v>5</v>
      </c>
      <c r="D2">
        <v>111239</v>
      </c>
      <c r="E2">
        <v>16060</v>
      </c>
      <c r="F2">
        <v>5012</v>
      </c>
      <c r="G2">
        <v>6299</v>
      </c>
      <c r="H2">
        <v>2521514</v>
      </c>
      <c r="I2">
        <v>103855</v>
      </c>
      <c r="J2">
        <v>17000</v>
      </c>
    </row>
    <row r="3" spans="1:10" x14ac:dyDescent="0.2">
      <c r="A3" s="1" t="s">
        <v>4</v>
      </c>
      <c r="B3">
        <v>2022</v>
      </c>
      <c r="C3" s="1" t="s">
        <v>5</v>
      </c>
      <c r="D3">
        <v>142610</v>
      </c>
      <c r="E3">
        <v>23509</v>
      </c>
      <c r="F3">
        <v>7179</v>
      </c>
      <c r="G3">
        <v>6624</v>
      </c>
      <c r="H3">
        <v>2399632</v>
      </c>
      <c r="I3">
        <v>215752</v>
      </c>
      <c r="J3">
        <v>70000</v>
      </c>
    </row>
    <row r="4" spans="1:10" x14ac:dyDescent="0.2">
      <c r="A4" s="1" t="s">
        <v>4</v>
      </c>
      <c r="B4">
        <v>2023</v>
      </c>
      <c r="C4" s="1" t="s">
        <v>5</v>
      </c>
      <c r="D4">
        <v>155498</v>
      </c>
      <c r="E4">
        <v>17096</v>
      </c>
      <c r="F4">
        <v>8836</v>
      </c>
      <c r="G4">
        <v>7538</v>
      </c>
      <c r="H4">
        <v>2554183</v>
      </c>
      <c r="I4">
        <v>376183</v>
      </c>
      <c r="J4">
        <v>32000</v>
      </c>
    </row>
    <row r="5" spans="1:10" x14ac:dyDescent="0.2">
      <c r="A5" s="1" t="s">
        <v>4</v>
      </c>
      <c r="B5">
        <v>2024</v>
      </c>
      <c r="C5" s="1" t="s">
        <v>5</v>
      </c>
      <c r="D5">
        <v>142380</v>
      </c>
      <c r="E5">
        <v>10236</v>
      </c>
      <c r="F5">
        <v>8500</v>
      </c>
      <c r="G5">
        <v>7400</v>
      </c>
      <c r="H5">
        <v>2450814</v>
      </c>
      <c r="I5">
        <v>375716</v>
      </c>
      <c r="J5">
        <v>14000</v>
      </c>
    </row>
    <row r="6" spans="1:10" x14ac:dyDescent="0.2">
      <c r="A6" s="1" t="s">
        <v>4</v>
      </c>
      <c r="B6">
        <v>2025</v>
      </c>
      <c r="C6" s="1" t="s">
        <v>5</v>
      </c>
      <c r="D6">
        <v>133453</v>
      </c>
      <c r="E6">
        <v>9845</v>
      </c>
      <c r="F6">
        <v>8100</v>
      </c>
      <c r="G6">
        <v>7000</v>
      </c>
      <c r="H6">
        <v>2463681</v>
      </c>
      <c r="I6">
        <v>412350</v>
      </c>
      <c r="J6">
        <v>13500</v>
      </c>
    </row>
    <row r="7" spans="1:10" x14ac:dyDescent="0.2">
      <c r="A7" s="1" t="s">
        <v>6</v>
      </c>
      <c r="B7">
        <v>2021</v>
      </c>
      <c r="C7" s="1" t="s">
        <v>5</v>
      </c>
      <c r="D7">
        <v>133893</v>
      </c>
      <c r="E7">
        <v>13974</v>
      </c>
      <c r="F7">
        <v>4600</v>
      </c>
      <c r="G7">
        <v>7700</v>
      </c>
      <c r="H7">
        <v>2330169</v>
      </c>
      <c r="I7">
        <v>99300</v>
      </c>
      <c r="J7">
        <v>17000</v>
      </c>
    </row>
    <row r="8" spans="1:10" x14ac:dyDescent="0.2">
      <c r="A8" s="1" t="s">
        <v>6</v>
      </c>
      <c r="B8">
        <v>2022</v>
      </c>
      <c r="C8" s="1" t="s">
        <v>5</v>
      </c>
      <c r="D8">
        <v>150017</v>
      </c>
      <c r="E8">
        <v>20458</v>
      </c>
      <c r="F8">
        <v>5200</v>
      </c>
      <c r="G8">
        <v>8500</v>
      </c>
      <c r="H8">
        <v>2456700</v>
      </c>
      <c r="I8">
        <v>149200</v>
      </c>
      <c r="J8">
        <v>70000</v>
      </c>
    </row>
    <row r="9" spans="1:10" x14ac:dyDescent="0.2">
      <c r="A9" s="1" t="s">
        <v>6</v>
      </c>
      <c r="B9">
        <v>2023</v>
      </c>
      <c r="C9" s="1" t="s">
        <v>5</v>
      </c>
      <c r="D9">
        <v>153218</v>
      </c>
      <c r="E9">
        <v>19683</v>
      </c>
      <c r="F9">
        <v>6300</v>
      </c>
      <c r="G9">
        <v>9200</v>
      </c>
      <c r="H9">
        <v>2491600</v>
      </c>
      <c r="I9">
        <v>240660</v>
      </c>
      <c r="J9">
        <v>32000</v>
      </c>
    </row>
    <row r="10" spans="1:10" x14ac:dyDescent="0.2">
      <c r="A10" s="1" t="s">
        <v>6</v>
      </c>
      <c r="B10">
        <v>2024</v>
      </c>
      <c r="C10" s="1" t="s">
        <v>5</v>
      </c>
      <c r="D10">
        <v>149150</v>
      </c>
      <c r="E10">
        <v>14210</v>
      </c>
      <c r="F10">
        <v>6100</v>
      </c>
      <c r="G10">
        <v>9000</v>
      </c>
      <c r="H10">
        <v>2374200</v>
      </c>
      <c r="I10">
        <v>224100</v>
      </c>
      <c r="J10">
        <v>14000</v>
      </c>
    </row>
    <row r="11" spans="1:10" x14ac:dyDescent="0.2">
      <c r="A11" s="1" t="s">
        <v>6</v>
      </c>
      <c r="B11">
        <v>2025</v>
      </c>
      <c r="C11" s="1" t="s">
        <v>5</v>
      </c>
      <c r="D11">
        <v>141800</v>
      </c>
      <c r="E11">
        <v>11350</v>
      </c>
      <c r="F11">
        <v>5800</v>
      </c>
      <c r="G11">
        <v>8600</v>
      </c>
      <c r="H11">
        <v>2351000</v>
      </c>
      <c r="I11">
        <v>201400</v>
      </c>
      <c r="J11">
        <v>13500</v>
      </c>
    </row>
    <row r="12" spans="1:10" x14ac:dyDescent="0.2">
      <c r="A12" s="1" t="s">
        <v>7</v>
      </c>
      <c r="B12">
        <v>2021</v>
      </c>
      <c r="C12" s="1" t="s">
        <v>5</v>
      </c>
      <c r="D12">
        <v>250200</v>
      </c>
      <c r="E12">
        <v>19275</v>
      </c>
      <c r="F12">
        <v>10500</v>
      </c>
      <c r="G12">
        <v>15600</v>
      </c>
      <c r="H12">
        <v>8882000</v>
      </c>
      <c r="I12">
        <v>452900</v>
      </c>
      <c r="J12">
        <v>17000</v>
      </c>
    </row>
    <row r="13" spans="1:10" x14ac:dyDescent="0.2">
      <c r="A13" s="1" t="s">
        <v>7</v>
      </c>
      <c r="B13">
        <v>2022</v>
      </c>
      <c r="C13" s="1" t="s">
        <v>5</v>
      </c>
      <c r="D13">
        <v>279232</v>
      </c>
      <c r="E13">
        <v>22124</v>
      </c>
      <c r="F13">
        <v>12700</v>
      </c>
      <c r="G13">
        <v>18900</v>
      </c>
      <c r="H13">
        <v>8262800</v>
      </c>
      <c r="I13">
        <v>572100</v>
      </c>
      <c r="J13">
        <v>70000</v>
      </c>
    </row>
    <row r="14" spans="1:10" x14ac:dyDescent="0.2">
      <c r="A14" s="1" t="s">
        <v>7</v>
      </c>
      <c r="B14">
        <v>2023</v>
      </c>
      <c r="C14" s="1" t="s">
        <v>5</v>
      </c>
      <c r="D14">
        <v>322284</v>
      </c>
      <c r="E14">
        <v>22576</v>
      </c>
      <c r="F14">
        <v>16300</v>
      </c>
      <c r="G14">
        <v>21800</v>
      </c>
      <c r="H14">
        <v>9239500</v>
      </c>
      <c r="I14">
        <v>771100</v>
      </c>
      <c r="J14">
        <v>32000</v>
      </c>
    </row>
    <row r="15" spans="1:10" x14ac:dyDescent="0.2">
      <c r="A15" s="1" t="s">
        <v>7</v>
      </c>
      <c r="B15">
        <v>2024</v>
      </c>
      <c r="C15" s="1" t="s">
        <v>5</v>
      </c>
      <c r="D15">
        <v>324656</v>
      </c>
      <c r="E15">
        <v>19060</v>
      </c>
      <c r="F15">
        <v>15800</v>
      </c>
      <c r="G15">
        <v>21000</v>
      </c>
      <c r="H15">
        <v>9240000</v>
      </c>
      <c r="I15">
        <v>771000</v>
      </c>
      <c r="J15">
        <v>14000</v>
      </c>
    </row>
    <row r="16" spans="1:10" x14ac:dyDescent="0.2">
      <c r="A16" s="1" t="s">
        <v>7</v>
      </c>
      <c r="B16">
        <v>2025</v>
      </c>
      <c r="C16" s="1" t="s">
        <v>5</v>
      </c>
      <c r="D16">
        <v>321913</v>
      </c>
      <c r="E16">
        <v>8868</v>
      </c>
      <c r="F16">
        <v>15000</v>
      </c>
      <c r="G16">
        <v>20500</v>
      </c>
      <c r="H16">
        <v>8950000</v>
      </c>
      <c r="I16">
        <v>710000</v>
      </c>
      <c r="J16">
        <v>13500</v>
      </c>
    </row>
    <row r="17" spans="1:10" x14ac:dyDescent="0.2">
      <c r="A17" s="1" t="s">
        <v>8</v>
      </c>
      <c r="B17">
        <v>2021</v>
      </c>
      <c r="C17" s="1" t="s">
        <v>5</v>
      </c>
      <c r="D17">
        <v>33138</v>
      </c>
      <c r="E17">
        <v>5314</v>
      </c>
      <c r="F17">
        <v>1400</v>
      </c>
      <c r="G17">
        <v>2100</v>
      </c>
      <c r="H17">
        <v>301915</v>
      </c>
      <c r="I17">
        <v>41296</v>
      </c>
      <c r="J17">
        <v>17000</v>
      </c>
    </row>
    <row r="18" spans="1:10" x14ac:dyDescent="0.2">
      <c r="A18" s="1" t="s">
        <v>8</v>
      </c>
      <c r="B18">
        <v>2022</v>
      </c>
      <c r="C18" s="1" t="s">
        <v>5</v>
      </c>
      <c r="D18">
        <v>37630</v>
      </c>
      <c r="E18">
        <v>6770</v>
      </c>
      <c r="F18">
        <v>1800</v>
      </c>
      <c r="G18">
        <v>2400</v>
      </c>
      <c r="H18">
        <v>309884</v>
      </c>
      <c r="I18">
        <v>34801</v>
      </c>
      <c r="J18">
        <v>70000</v>
      </c>
    </row>
    <row r="19" spans="1:10" x14ac:dyDescent="0.2">
      <c r="A19" s="1" t="s">
        <v>8</v>
      </c>
      <c r="B19">
        <v>2023</v>
      </c>
      <c r="C19" s="1" t="s">
        <v>5</v>
      </c>
      <c r="D19">
        <v>40530</v>
      </c>
      <c r="E19">
        <v>7284</v>
      </c>
      <c r="F19">
        <v>2200</v>
      </c>
      <c r="G19">
        <v>2800</v>
      </c>
      <c r="H19">
        <v>320221</v>
      </c>
      <c r="I19">
        <v>40629</v>
      </c>
      <c r="J19">
        <v>32000</v>
      </c>
    </row>
    <row r="20" spans="1:10" x14ac:dyDescent="0.2">
      <c r="A20" s="1" t="s">
        <v>8</v>
      </c>
      <c r="B20">
        <v>2024</v>
      </c>
      <c r="C20" s="1" t="s">
        <v>5</v>
      </c>
      <c r="D20">
        <v>39810</v>
      </c>
      <c r="E20">
        <v>5490</v>
      </c>
      <c r="F20">
        <v>2100</v>
      </c>
      <c r="G20">
        <v>2700</v>
      </c>
      <c r="H20">
        <v>297300</v>
      </c>
      <c r="I20">
        <v>32100</v>
      </c>
      <c r="J20">
        <v>14000</v>
      </c>
    </row>
    <row r="21" spans="1:10" x14ac:dyDescent="0.2">
      <c r="A21" s="1" t="s">
        <v>8</v>
      </c>
      <c r="B21">
        <v>2025</v>
      </c>
      <c r="C21" s="1" t="s">
        <v>5</v>
      </c>
      <c r="D21">
        <v>38420</v>
      </c>
      <c r="E21">
        <v>4910</v>
      </c>
      <c r="F21">
        <v>2000</v>
      </c>
      <c r="G21">
        <v>2600</v>
      </c>
      <c r="H21">
        <v>291500</v>
      </c>
      <c r="I21">
        <v>46300</v>
      </c>
      <c r="J21">
        <v>13500</v>
      </c>
    </row>
    <row r="22" spans="1:10" x14ac:dyDescent="0.2">
      <c r="A22" s="1" t="s">
        <v>9</v>
      </c>
      <c r="B22">
        <v>2021</v>
      </c>
      <c r="C22" s="1" t="s">
        <v>10</v>
      </c>
      <c r="D22">
        <v>49517.16</v>
      </c>
      <c r="E22">
        <v>6001.16</v>
      </c>
      <c r="F22">
        <v>5963.44</v>
      </c>
      <c r="G22">
        <v>2385.56</v>
      </c>
      <c r="H22">
        <v>936172</v>
      </c>
      <c r="I22">
        <v>936172</v>
      </c>
      <c r="J22">
        <v>17000</v>
      </c>
    </row>
    <row r="23" spans="1:10" x14ac:dyDescent="0.2">
      <c r="A23" s="1" t="s">
        <v>9</v>
      </c>
      <c r="B23">
        <v>2022</v>
      </c>
      <c r="C23" s="1" t="s">
        <v>10</v>
      </c>
      <c r="D23">
        <v>74945.039999999994</v>
      </c>
      <c r="E23">
        <v>12563.52</v>
      </c>
      <c r="F23">
        <v>6585.36</v>
      </c>
      <c r="G23">
        <v>2829</v>
      </c>
      <c r="H23">
        <v>1313851</v>
      </c>
      <c r="I23">
        <v>1313851</v>
      </c>
      <c r="J23">
        <v>70000</v>
      </c>
    </row>
    <row r="24" spans="1:10" x14ac:dyDescent="0.2">
      <c r="A24" s="1" t="s">
        <v>9</v>
      </c>
      <c r="B24">
        <v>2023</v>
      </c>
      <c r="C24" s="1" t="s">
        <v>10</v>
      </c>
      <c r="D24">
        <v>89031.16</v>
      </c>
      <c r="E24">
        <v>8179.72</v>
      </c>
      <c r="F24">
        <v>8187.08</v>
      </c>
      <c r="G24">
        <v>3651.48</v>
      </c>
      <c r="H24">
        <v>1808581</v>
      </c>
      <c r="I24">
        <v>1808581</v>
      </c>
      <c r="J24">
        <v>32000</v>
      </c>
    </row>
    <row r="25" spans="1:10" x14ac:dyDescent="0.2">
      <c r="A25" s="1" t="s">
        <v>9</v>
      </c>
      <c r="B25">
        <v>2024</v>
      </c>
      <c r="C25" s="1" t="s">
        <v>10</v>
      </c>
      <c r="D25">
        <v>90620</v>
      </c>
      <c r="E25">
        <v>6808</v>
      </c>
      <c r="F25">
        <v>7820</v>
      </c>
      <c r="G25">
        <v>3772</v>
      </c>
      <c r="H25">
        <v>1800580</v>
      </c>
      <c r="I25">
        <v>1800580</v>
      </c>
      <c r="J25">
        <v>14000</v>
      </c>
    </row>
    <row r="26" spans="1:10" x14ac:dyDescent="0.2">
      <c r="A26" s="1" t="s">
        <v>9</v>
      </c>
      <c r="B26">
        <v>2025</v>
      </c>
      <c r="C26" s="1" t="s">
        <v>10</v>
      </c>
      <c r="D26">
        <v>97980</v>
      </c>
      <c r="E26">
        <v>8050</v>
      </c>
      <c r="F26">
        <v>8464</v>
      </c>
      <c r="G26">
        <v>4140</v>
      </c>
      <c r="H26">
        <v>2110400</v>
      </c>
      <c r="I26">
        <v>2110400</v>
      </c>
      <c r="J26">
        <v>13500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1D2A-FAF1-8D46-94F7-DBD5335B28A0}">
  <dimension ref="A1:M26"/>
  <sheetViews>
    <sheetView workbookViewId="0">
      <selection activeCell="C6" sqref="C6"/>
    </sheetView>
  </sheetViews>
  <sheetFormatPr baseColWidth="10" defaultRowHeight="16" x14ac:dyDescent="0.2"/>
  <cols>
    <col min="1" max="1" width="14.33203125" customWidth="1"/>
    <col min="2" max="2" width="12.6640625" customWidth="1"/>
    <col min="3" max="3" width="16.6640625" customWidth="1"/>
    <col min="4" max="4" width="17.1640625" customWidth="1"/>
    <col min="5" max="5" width="19.5" customWidth="1"/>
    <col min="6" max="6" width="17.6640625" customWidth="1"/>
    <col min="7" max="7" width="14.6640625" customWidth="1"/>
    <col min="10" max="10" width="15.1640625" customWidth="1"/>
    <col min="11" max="11" width="17.6640625" customWidth="1"/>
    <col min="13" max="13" width="13.5" customWidth="1"/>
  </cols>
  <sheetData>
    <row r="1" spans="1:13" ht="17" x14ac:dyDescent="0.25">
      <c r="A1" t="s">
        <v>11</v>
      </c>
      <c r="B1" t="s">
        <v>0</v>
      </c>
      <c r="C1" t="s">
        <v>19</v>
      </c>
      <c r="D1" t="s">
        <v>20</v>
      </c>
      <c r="E1" t="s">
        <v>21</v>
      </c>
      <c r="F1" s="2" t="s">
        <v>22</v>
      </c>
      <c r="G1" t="s">
        <v>17</v>
      </c>
      <c r="H1" t="s">
        <v>18</v>
      </c>
      <c r="I1" t="s">
        <v>28</v>
      </c>
      <c r="J1" t="s">
        <v>29</v>
      </c>
      <c r="K1" t="s">
        <v>32</v>
      </c>
      <c r="L1" t="s">
        <v>58</v>
      </c>
      <c r="M1" t="s">
        <v>59</v>
      </c>
    </row>
    <row r="2" spans="1:13" x14ac:dyDescent="0.2">
      <c r="A2" s="13" t="str">
        <f>'1_Raw_Data'!A2</f>
        <v>BMW</v>
      </c>
      <c r="B2">
        <f>'1_Raw_Data'!B2</f>
        <v>2021</v>
      </c>
      <c r="C2">
        <f>SUMIFS('1_Raw_Data'!D:D, '1_Raw_Data'!A:A, $A2, '1_Raw_Data'!B:B, $B2)</f>
        <v>111239</v>
      </c>
      <c r="D2">
        <f>SUMIFS('1_Raw_Data'!E:E, '1_Raw_Data'!A:A, $A2, '1_Raw_Data'!B:B, $B2)</f>
        <v>16060</v>
      </c>
      <c r="E2">
        <f>SUMIFS('1_Raw_Data'!H:H, '1_Raw_Data'!A:A, $A2, '1_Raw_Data'!B:B, $B2)</f>
        <v>2521514</v>
      </c>
      <c r="F2">
        <f>SUMIFS('1_Raw_Data'!I:I, '1_Raw_Data'!A:A, $A2, '1_Raw_Data'!B:B, $B2)</f>
        <v>103855</v>
      </c>
      <c r="G2" s="3">
        <f>D2/C2</f>
        <v>0.14437382572658869</v>
      </c>
      <c r="H2" s="3">
        <f>F2/E2</f>
        <v>4.1187556364945824E-2</v>
      </c>
      <c r="I2">
        <f>SUMIFS('1_Raw_Data'!F:F, '1_Raw_Data'!A:A, $A2, '1_Raw_Data'!B:B, $B2)</f>
        <v>5012</v>
      </c>
      <c r="J2" s="3">
        <f>I2/C2</f>
        <v>4.5056140382419833E-2</v>
      </c>
      <c r="K2" s="3" t="str">
        <f>IF($B2=2021, "N/A", (C2-C1)/C1)</f>
        <v>N/A</v>
      </c>
      <c r="L2">
        <f>SUMIFS('1_Raw_Data'!G:G, '1_Raw_Data'!A:A, $A2, '1_Raw_Data'!B:B, $B2)</f>
        <v>6299</v>
      </c>
      <c r="M2" s="3">
        <f>L2/C2</f>
        <v>5.662582367694783E-2</v>
      </c>
    </row>
    <row r="3" spans="1:13" x14ac:dyDescent="0.2">
      <c r="A3" s="13" t="str">
        <f>'1_Raw_Data'!A3</f>
        <v>BMW</v>
      </c>
      <c r="B3">
        <f>'1_Raw_Data'!B3</f>
        <v>2022</v>
      </c>
      <c r="C3">
        <f>SUMIFS('1_Raw_Data'!D:D, '1_Raw_Data'!A:A, $A3, '1_Raw_Data'!B:B, $B3)</f>
        <v>142610</v>
      </c>
      <c r="D3">
        <f>SUMIFS('1_Raw_Data'!E:E, '1_Raw_Data'!A:A, $A3, '1_Raw_Data'!B:B, $B3)</f>
        <v>23509</v>
      </c>
      <c r="E3">
        <f>SUMIFS('1_Raw_Data'!H:H, '1_Raw_Data'!A:A, $A3, '1_Raw_Data'!B:B, $B3)</f>
        <v>2399632</v>
      </c>
      <c r="F3">
        <f>SUMIFS('1_Raw_Data'!I:I, '1_Raw_Data'!A:A, $A3, '1_Raw_Data'!B:B, $B3)</f>
        <v>215752</v>
      </c>
      <c r="G3" s="3">
        <f t="shared" ref="G3:G26" si="0">D3/C3</f>
        <v>0.16484818736413998</v>
      </c>
      <c r="H3" s="3">
        <f t="shared" ref="H3:H26" si="1">F3/E3</f>
        <v>8.9910452936116866E-2</v>
      </c>
      <c r="I3">
        <f>SUMIFS('1_Raw_Data'!F:F, '1_Raw_Data'!A:A, $A3, '1_Raw_Data'!B:B, $B3)</f>
        <v>7179</v>
      </c>
      <c r="J3" s="3">
        <f t="shared" ref="J3:J26" si="2">I3/C3</f>
        <v>5.0340088352850434E-2</v>
      </c>
      <c r="K3" s="3">
        <f t="shared" ref="K3:K26" si="3">IF($B3=2021, "N/A", (C3-C2)/C2)</f>
        <v>0.282014401423961</v>
      </c>
      <c r="L3">
        <f>SUMIFS('1_Raw_Data'!G:G, '1_Raw_Data'!A:A, $A3, '1_Raw_Data'!B:B, $B3)</f>
        <v>6624</v>
      </c>
      <c r="M3" s="3">
        <f t="shared" ref="M3:M26" si="4">L3/C3</f>
        <v>4.6448355655283644E-2</v>
      </c>
    </row>
    <row r="4" spans="1:13" x14ac:dyDescent="0.2">
      <c r="A4" s="13" t="str">
        <f>'1_Raw_Data'!A4</f>
        <v>BMW</v>
      </c>
      <c r="B4">
        <f>'1_Raw_Data'!B4</f>
        <v>2023</v>
      </c>
      <c r="C4">
        <f>SUMIFS('1_Raw_Data'!D:D, '1_Raw_Data'!A:A, $A4, '1_Raw_Data'!B:B, $B4)</f>
        <v>155498</v>
      </c>
      <c r="D4">
        <f>SUMIFS('1_Raw_Data'!E:E, '1_Raw_Data'!A:A, $A4, '1_Raw_Data'!B:B, $B4)</f>
        <v>17096</v>
      </c>
      <c r="E4">
        <f>SUMIFS('1_Raw_Data'!H:H, '1_Raw_Data'!A:A, $A4, '1_Raw_Data'!B:B, $B4)</f>
        <v>2554183</v>
      </c>
      <c r="F4">
        <f>SUMIFS('1_Raw_Data'!I:I, '1_Raw_Data'!A:A, $A4, '1_Raw_Data'!B:B, $B4)</f>
        <v>376183</v>
      </c>
      <c r="G4" s="3">
        <f t="shared" si="0"/>
        <v>0.10994353625127011</v>
      </c>
      <c r="H4" s="3">
        <f t="shared" si="1"/>
        <v>0.14728114626085914</v>
      </c>
      <c r="I4">
        <f>SUMIFS('1_Raw_Data'!F:F, '1_Raw_Data'!A:A, $A4, '1_Raw_Data'!B:B, $B4)</f>
        <v>8836</v>
      </c>
      <c r="J4" s="3">
        <f t="shared" si="2"/>
        <v>5.6823881979189445E-2</v>
      </c>
      <c r="K4" s="3">
        <f t="shared" si="3"/>
        <v>9.037234415538882E-2</v>
      </c>
      <c r="L4">
        <f>SUMIFS('1_Raw_Data'!G:G, '1_Raw_Data'!A:A, $A4, '1_Raw_Data'!B:B, $B4)</f>
        <v>7538</v>
      </c>
      <c r="M4" s="3">
        <f t="shared" si="4"/>
        <v>4.8476507736433909E-2</v>
      </c>
    </row>
    <row r="5" spans="1:13" x14ac:dyDescent="0.2">
      <c r="A5" s="13" t="str">
        <f>'1_Raw_Data'!A5</f>
        <v>BMW</v>
      </c>
      <c r="B5">
        <f>'1_Raw_Data'!B5</f>
        <v>2024</v>
      </c>
      <c r="C5">
        <f>SUMIFS('1_Raw_Data'!D:D, '1_Raw_Data'!A:A, $A5, '1_Raw_Data'!B:B, $B5)</f>
        <v>142380</v>
      </c>
      <c r="D5">
        <f>SUMIFS('1_Raw_Data'!E:E, '1_Raw_Data'!A:A, $A5, '1_Raw_Data'!B:B, $B5)</f>
        <v>10236</v>
      </c>
      <c r="E5">
        <f>SUMIFS('1_Raw_Data'!H:H, '1_Raw_Data'!A:A, $A5, '1_Raw_Data'!B:B, $B5)</f>
        <v>2450814</v>
      </c>
      <c r="F5">
        <f>SUMIFS('1_Raw_Data'!I:I, '1_Raw_Data'!A:A, $A5, '1_Raw_Data'!B:B, $B5)</f>
        <v>375716</v>
      </c>
      <c r="G5" s="3">
        <f t="shared" si="0"/>
        <v>7.1892119679730304E-2</v>
      </c>
      <c r="H5" s="3">
        <f t="shared" si="1"/>
        <v>0.15330253540252339</v>
      </c>
      <c r="I5">
        <f>SUMIFS('1_Raw_Data'!F:F, '1_Raw_Data'!A:A, $A5, '1_Raw_Data'!B:B, $B5)</f>
        <v>8500</v>
      </c>
      <c r="J5" s="3">
        <f t="shared" si="2"/>
        <v>5.9699395982581824E-2</v>
      </c>
      <c r="K5" s="3">
        <f t="shared" si="3"/>
        <v>-8.4361213649050151E-2</v>
      </c>
      <c r="L5">
        <f>SUMIFS('1_Raw_Data'!G:G, '1_Raw_Data'!A:A, $A5, '1_Raw_Data'!B:B, $B5)</f>
        <v>7400</v>
      </c>
      <c r="M5" s="3">
        <f t="shared" si="4"/>
        <v>5.1973591796600646E-2</v>
      </c>
    </row>
    <row r="6" spans="1:13" x14ac:dyDescent="0.2">
      <c r="A6" s="13" t="str">
        <f>'1_Raw_Data'!A6</f>
        <v>BMW</v>
      </c>
      <c r="B6">
        <f>'1_Raw_Data'!B6</f>
        <v>2025</v>
      </c>
      <c r="C6">
        <f>SUMIFS('1_Raw_Data'!D:D, '1_Raw_Data'!A:A, $A6, '1_Raw_Data'!B:B, $B6)</f>
        <v>133453</v>
      </c>
      <c r="D6">
        <f>SUMIFS('1_Raw_Data'!E:E, '1_Raw_Data'!A:A, $A6, '1_Raw_Data'!B:B, $B6)</f>
        <v>9845</v>
      </c>
      <c r="E6">
        <f>SUMIFS('1_Raw_Data'!H:H, '1_Raw_Data'!A:A, $A6, '1_Raw_Data'!B:B, $B6)</f>
        <v>2463681</v>
      </c>
      <c r="F6">
        <f>SUMIFS('1_Raw_Data'!I:I, '1_Raw_Data'!A:A, $A6, '1_Raw_Data'!B:B, $B6)</f>
        <v>412350</v>
      </c>
      <c r="G6" s="3">
        <f t="shared" si="0"/>
        <v>7.3771290266985382E-2</v>
      </c>
      <c r="H6" s="3">
        <f t="shared" si="1"/>
        <v>0.16737150629484904</v>
      </c>
      <c r="I6">
        <f>SUMIFS('1_Raw_Data'!F:F, '1_Raw_Data'!A:A, $A6, '1_Raw_Data'!B:B, $B6)</f>
        <v>8100</v>
      </c>
      <c r="J6" s="3">
        <f t="shared" si="2"/>
        <v>6.0695525765625348E-2</v>
      </c>
      <c r="K6" s="3">
        <f t="shared" si="3"/>
        <v>-6.2698412698412698E-2</v>
      </c>
      <c r="L6">
        <f>SUMIFS('1_Raw_Data'!G:G, '1_Raw_Data'!A:A, $A6, '1_Raw_Data'!B:B, $B6)</f>
        <v>7000</v>
      </c>
      <c r="M6" s="3">
        <f t="shared" si="4"/>
        <v>5.2452923501157711E-2</v>
      </c>
    </row>
    <row r="7" spans="1:13" x14ac:dyDescent="0.2">
      <c r="A7" s="13" t="str">
        <f>'1_Raw_Data'!A7</f>
        <v>Mercedes-Benz</v>
      </c>
      <c r="B7">
        <f>'1_Raw_Data'!B7</f>
        <v>2021</v>
      </c>
      <c r="C7">
        <f>SUMIFS('1_Raw_Data'!D:D, '1_Raw_Data'!A:A, $A7, '1_Raw_Data'!B:B, $B7)</f>
        <v>133893</v>
      </c>
      <c r="D7">
        <f>SUMIFS('1_Raw_Data'!E:E, '1_Raw_Data'!A:A, $A7, '1_Raw_Data'!B:B, $B7)</f>
        <v>13974</v>
      </c>
      <c r="E7">
        <f>SUMIFS('1_Raw_Data'!H:H, '1_Raw_Data'!A:A, $A7, '1_Raw_Data'!B:B, $B7)</f>
        <v>2330169</v>
      </c>
      <c r="F7">
        <f>SUMIFS('1_Raw_Data'!I:I, '1_Raw_Data'!A:A, $A7, '1_Raw_Data'!B:B, $B7)</f>
        <v>99300</v>
      </c>
      <c r="G7" s="3">
        <f t="shared" si="0"/>
        <v>0.10436691985391319</v>
      </c>
      <c r="H7" s="3">
        <f t="shared" si="1"/>
        <v>4.2614934796574841E-2</v>
      </c>
      <c r="I7">
        <f>SUMIFS('1_Raw_Data'!F:F, '1_Raw_Data'!A:A, $A7, '1_Raw_Data'!B:B, $B7)</f>
        <v>4600</v>
      </c>
      <c r="J7" s="3">
        <f t="shared" si="2"/>
        <v>3.4355791564906306E-2</v>
      </c>
      <c r="K7" s="3" t="str">
        <f t="shared" si="3"/>
        <v>N/A</v>
      </c>
      <c r="L7">
        <f>SUMIFS('1_Raw_Data'!G:G, '1_Raw_Data'!A:A, $A7, '1_Raw_Data'!B:B, $B7)</f>
        <v>7700</v>
      </c>
      <c r="M7" s="3">
        <f t="shared" si="4"/>
        <v>5.750860761951708E-2</v>
      </c>
    </row>
    <row r="8" spans="1:13" x14ac:dyDescent="0.2">
      <c r="A8" s="13" t="str">
        <f>'1_Raw_Data'!A8</f>
        <v>Mercedes-Benz</v>
      </c>
      <c r="B8">
        <f>'1_Raw_Data'!B8</f>
        <v>2022</v>
      </c>
      <c r="C8">
        <f>SUMIFS('1_Raw_Data'!D:D, '1_Raw_Data'!A:A, $A8, '1_Raw_Data'!B:B, $B8)</f>
        <v>150017</v>
      </c>
      <c r="D8">
        <f>SUMIFS('1_Raw_Data'!E:E, '1_Raw_Data'!A:A, $A8, '1_Raw_Data'!B:B, $B8)</f>
        <v>20458</v>
      </c>
      <c r="E8">
        <f>SUMIFS('1_Raw_Data'!H:H, '1_Raw_Data'!A:A, $A8, '1_Raw_Data'!B:B, $B8)</f>
        <v>2456700</v>
      </c>
      <c r="F8">
        <f>SUMIFS('1_Raw_Data'!I:I, '1_Raw_Data'!A:A, $A8, '1_Raw_Data'!B:B, $B8)</f>
        <v>149200</v>
      </c>
      <c r="G8" s="3">
        <f t="shared" si="0"/>
        <v>0.13637121126272356</v>
      </c>
      <c r="H8" s="3">
        <f t="shared" si="1"/>
        <v>6.0731876093947167E-2</v>
      </c>
      <c r="I8">
        <f>SUMIFS('1_Raw_Data'!F:F, '1_Raw_Data'!A:A, $A8, '1_Raw_Data'!B:B, $B8)</f>
        <v>5200</v>
      </c>
      <c r="J8" s="3">
        <f t="shared" si="2"/>
        <v>3.4662738223001394E-2</v>
      </c>
      <c r="K8" s="3">
        <f t="shared" si="3"/>
        <v>0.1204245180853368</v>
      </c>
      <c r="L8">
        <f>SUMIFS('1_Raw_Data'!G:G, '1_Raw_Data'!A:A, $A8, '1_Raw_Data'!B:B, $B8)</f>
        <v>8500</v>
      </c>
      <c r="M8" s="3">
        <f t="shared" si="4"/>
        <v>5.6660245172213818E-2</v>
      </c>
    </row>
    <row r="9" spans="1:13" x14ac:dyDescent="0.2">
      <c r="A9" s="13" t="str">
        <f>'1_Raw_Data'!A9</f>
        <v>Mercedes-Benz</v>
      </c>
      <c r="B9">
        <f>'1_Raw_Data'!B9</f>
        <v>2023</v>
      </c>
      <c r="C9">
        <f>SUMIFS('1_Raw_Data'!D:D, '1_Raw_Data'!A:A, $A9, '1_Raw_Data'!B:B, $B9)</f>
        <v>153218</v>
      </c>
      <c r="D9">
        <f>SUMIFS('1_Raw_Data'!E:E, '1_Raw_Data'!A:A, $A9, '1_Raw_Data'!B:B, $B9)</f>
        <v>19683</v>
      </c>
      <c r="E9">
        <f>SUMIFS('1_Raw_Data'!H:H, '1_Raw_Data'!A:A, $A9, '1_Raw_Data'!B:B, $B9)</f>
        <v>2491600</v>
      </c>
      <c r="F9">
        <f>SUMIFS('1_Raw_Data'!I:I, '1_Raw_Data'!A:A, $A9, '1_Raw_Data'!B:B, $B9)</f>
        <v>240660</v>
      </c>
      <c r="G9" s="3">
        <f t="shared" si="0"/>
        <v>0.12846401858789439</v>
      </c>
      <c r="H9" s="3">
        <f t="shared" si="1"/>
        <v>9.6588537485952808E-2</v>
      </c>
      <c r="I9">
        <f>SUMIFS('1_Raw_Data'!F:F, '1_Raw_Data'!A:A, $A9, '1_Raw_Data'!B:B, $B9)</f>
        <v>6300</v>
      </c>
      <c r="J9" s="3">
        <f t="shared" si="2"/>
        <v>4.1117884321685443E-2</v>
      </c>
      <c r="K9" s="3">
        <f t="shared" si="3"/>
        <v>2.133758174073605E-2</v>
      </c>
      <c r="L9">
        <f>SUMIFS('1_Raw_Data'!G:G, '1_Raw_Data'!A:A, $A9, '1_Raw_Data'!B:B, $B9)</f>
        <v>9200</v>
      </c>
      <c r="M9" s="3">
        <f t="shared" si="4"/>
        <v>6.0045164406270807E-2</v>
      </c>
    </row>
    <row r="10" spans="1:13" x14ac:dyDescent="0.2">
      <c r="A10" s="13" t="str">
        <f>'1_Raw_Data'!A10</f>
        <v>Mercedes-Benz</v>
      </c>
      <c r="B10">
        <f>'1_Raw_Data'!B10</f>
        <v>2024</v>
      </c>
      <c r="C10">
        <f>SUMIFS('1_Raw_Data'!D:D, '1_Raw_Data'!A:A, $A10, '1_Raw_Data'!B:B, $B10)</f>
        <v>149150</v>
      </c>
      <c r="D10">
        <f>SUMIFS('1_Raw_Data'!E:E, '1_Raw_Data'!A:A, $A10, '1_Raw_Data'!B:B, $B10)</f>
        <v>14210</v>
      </c>
      <c r="E10">
        <f>SUMIFS('1_Raw_Data'!H:H, '1_Raw_Data'!A:A, $A10, '1_Raw_Data'!B:B, $B10)</f>
        <v>2374200</v>
      </c>
      <c r="F10">
        <f>SUMIFS('1_Raw_Data'!I:I, '1_Raw_Data'!A:A, $A10, '1_Raw_Data'!B:B, $B10)</f>
        <v>224100</v>
      </c>
      <c r="G10" s="3">
        <f t="shared" si="0"/>
        <v>9.527321488434462E-2</v>
      </c>
      <c r="H10" s="3">
        <f t="shared" si="1"/>
        <v>9.4389689158453374E-2</v>
      </c>
      <c r="I10">
        <f>SUMIFS('1_Raw_Data'!F:F, '1_Raw_Data'!A:A, $A10, '1_Raw_Data'!B:B, $B10)</f>
        <v>6100</v>
      </c>
      <c r="J10" s="3">
        <f t="shared" si="2"/>
        <v>4.0898424404961449E-2</v>
      </c>
      <c r="K10" s="3">
        <f t="shared" si="3"/>
        <v>-2.6550405304859741E-2</v>
      </c>
      <c r="L10">
        <f>SUMIFS('1_Raw_Data'!G:G, '1_Raw_Data'!A:A, $A10, '1_Raw_Data'!B:B, $B10)</f>
        <v>9000</v>
      </c>
      <c r="M10" s="3">
        <f t="shared" si="4"/>
        <v>6.0341937646664429E-2</v>
      </c>
    </row>
    <row r="11" spans="1:13" x14ac:dyDescent="0.2">
      <c r="A11" s="13" t="str">
        <f>'1_Raw_Data'!A11</f>
        <v>Mercedes-Benz</v>
      </c>
      <c r="B11">
        <f>'1_Raw_Data'!B11</f>
        <v>2025</v>
      </c>
      <c r="C11">
        <f>SUMIFS('1_Raw_Data'!D:D, '1_Raw_Data'!A:A, $A11, '1_Raw_Data'!B:B, $B11)</f>
        <v>141800</v>
      </c>
      <c r="D11">
        <f>SUMIFS('1_Raw_Data'!E:E, '1_Raw_Data'!A:A, $A11, '1_Raw_Data'!B:B, $B11)</f>
        <v>11350</v>
      </c>
      <c r="E11">
        <f>SUMIFS('1_Raw_Data'!H:H, '1_Raw_Data'!A:A, $A11, '1_Raw_Data'!B:B, $B11)</f>
        <v>2351000</v>
      </c>
      <c r="F11">
        <f>SUMIFS('1_Raw_Data'!I:I, '1_Raw_Data'!A:A, $A11, '1_Raw_Data'!B:B, $B11)</f>
        <v>201400</v>
      </c>
      <c r="G11" s="3">
        <f t="shared" si="0"/>
        <v>8.0042313117066291E-2</v>
      </c>
      <c r="H11" s="3">
        <f t="shared" si="1"/>
        <v>8.5665674181199483E-2</v>
      </c>
      <c r="I11">
        <f>SUMIFS('1_Raw_Data'!F:F, '1_Raw_Data'!A:A, $A11, '1_Raw_Data'!B:B, $B11)</f>
        <v>5800</v>
      </c>
      <c r="J11" s="3">
        <f t="shared" si="2"/>
        <v>4.0902679830747531E-2</v>
      </c>
      <c r="K11" s="3">
        <f t="shared" si="3"/>
        <v>-4.9279249078109287E-2</v>
      </c>
      <c r="L11">
        <f>SUMIFS('1_Raw_Data'!G:G, '1_Raw_Data'!A:A, $A11, '1_Raw_Data'!B:B, $B11)</f>
        <v>8600</v>
      </c>
      <c r="M11" s="3">
        <f t="shared" si="4"/>
        <v>6.0648801128349791E-2</v>
      </c>
    </row>
    <row r="12" spans="1:13" x14ac:dyDescent="0.2">
      <c r="A12" s="13" t="str">
        <f>'1_Raw_Data'!A12</f>
        <v>Volkswagen</v>
      </c>
      <c r="B12">
        <f>'1_Raw_Data'!B12</f>
        <v>2021</v>
      </c>
      <c r="C12">
        <f>SUMIFS('1_Raw_Data'!D:D, '1_Raw_Data'!A:A, $A12, '1_Raw_Data'!B:B, $B12)</f>
        <v>250200</v>
      </c>
      <c r="D12">
        <f>SUMIFS('1_Raw_Data'!E:E, '1_Raw_Data'!A:A, $A12, '1_Raw_Data'!B:B, $B12)</f>
        <v>19275</v>
      </c>
      <c r="E12">
        <f>SUMIFS('1_Raw_Data'!H:H, '1_Raw_Data'!A:A, $A12, '1_Raw_Data'!B:B, $B12)</f>
        <v>8882000</v>
      </c>
      <c r="F12">
        <f>SUMIFS('1_Raw_Data'!I:I, '1_Raw_Data'!A:A, $A12, '1_Raw_Data'!B:B, $B12)</f>
        <v>452900</v>
      </c>
      <c r="G12" s="3">
        <f t="shared" si="0"/>
        <v>7.7038369304556362E-2</v>
      </c>
      <c r="H12" s="3">
        <f t="shared" si="1"/>
        <v>5.0990767845079936E-2</v>
      </c>
      <c r="I12">
        <f>SUMIFS('1_Raw_Data'!F:F, '1_Raw_Data'!A:A, $A12, '1_Raw_Data'!B:B, $B12)</f>
        <v>10500</v>
      </c>
      <c r="J12" s="3">
        <f t="shared" si="2"/>
        <v>4.1966426858513192E-2</v>
      </c>
      <c r="K12" s="3" t="str">
        <f t="shared" si="3"/>
        <v>N/A</v>
      </c>
      <c r="L12">
        <f>SUMIFS('1_Raw_Data'!G:G, '1_Raw_Data'!A:A, $A12, '1_Raw_Data'!B:B, $B12)</f>
        <v>15600</v>
      </c>
      <c r="M12" s="3">
        <f t="shared" si="4"/>
        <v>6.235011990407674E-2</v>
      </c>
    </row>
    <row r="13" spans="1:13" x14ac:dyDescent="0.2">
      <c r="A13" s="13" t="str">
        <f>'1_Raw_Data'!A13</f>
        <v>Volkswagen</v>
      </c>
      <c r="B13">
        <f>'1_Raw_Data'!B13</f>
        <v>2022</v>
      </c>
      <c r="C13">
        <f>SUMIFS('1_Raw_Data'!D:D, '1_Raw_Data'!A:A, $A13, '1_Raw_Data'!B:B, $B13)</f>
        <v>279232</v>
      </c>
      <c r="D13">
        <f>SUMIFS('1_Raw_Data'!E:E, '1_Raw_Data'!A:A, $A13, '1_Raw_Data'!B:B, $B13)</f>
        <v>22124</v>
      </c>
      <c r="E13">
        <f>SUMIFS('1_Raw_Data'!H:H, '1_Raw_Data'!A:A, $A13, '1_Raw_Data'!B:B, $B13)</f>
        <v>8262800</v>
      </c>
      <c r="F13">
        <f>SUMIFS('1_Raw_Data'!I:I, '1_Raw_Data'!A:A, $A13, '1_Raw_Data'!B:B, $B13)</f>
        <v>572100</v>
      </c>
      <c r="G13" s="3">
        <f t="shared" si="0"/>
        <v>7.9231606692642675E-2</v>
      </c>
      <c r="H13" s="3">
        <f t="shared" si="1"/>
        <v>6.9238030691775185E-2</v>
      </c>
      <c r="I13">
        <f>SUMIFS('1_Raw_Data'!F:F, '1_Raw_Data'!A:A, $A13, '1_Raw_Data'!B:B, $B13)</f>
        <v>12700</v>
      </c>
      <c r="J13" s="3">
        <f t="shared" si="2"/>
        <v>4.5481893192757278E-2</v>
      </c>
      <c r="K13" s="3">
        <f t="shared" si="3"/>
        <v>0.11603517186250999</v>
      </c>
      <c r="L13">
        <f>SUMIFS('1_Raw_Data'!G:G, '1_Raw_Data'!A:A, $A13, '1_Raw_Data'!B:B, $B13)</f>
        <v>18900</v>
      </c>
      <c r="M13" s="3">
        <f t="shared" si="4"/>
        <v>6.7685652074260833E-2</v>
      </c>
    </row>
    <row r="14" spans="1:13" x14ac:dyDescent="0.2">
      <c r="A14" s="13" t="str">
        <f>'1_Raw_Data'!A14</f>
        <v>Volkswagen</v>
      </c>
      <c r="B14">
        <f>'1_Raw_Data'!B14</f>
        <v>2023</v>
      </c>
      <c r="C14">
        <f>SUMIFS('1_Raw_Data'!D:D, '1_Raw_Data'!A:A, $A14, '1_Raw_Data'!B:B, $B14)</f>
        <v>322284</v>
      </c>
      <c r="D14">
        <f>SUMIFS('1_Raw_Data'!E:E, '1_Raw_Data'!A:A, $A14, '1_Raw_Data'!B:B, $B14)</f>
        <v>22576</v>
      </c>
      <c r="E14">
        <f>SUMIFS('1_Raw_Data'!H:H, '1_Raw_Data'!A:A, $A14, '1_Raw_Data'!B:B, $B14)</f>
        <v>9239500</v>
      </c>
      <c r="F14">
        <f>SUMIFS('1_Raw_Data'!I:I, '1_Raw_Data'!A:A, $A14, '1_Raw_Data'!B:B, $B14)</f>
        <v>771100</v>
      </c>
      <c r="G14" s="3">
        <f t="shared" si="0"/>
        <v>7.0050017996549627E-2</v>
      </c>
      <c r="H14" s="3">
        <f t="shared" si="1"/>
        <v>8.3456897018236914E-2</v>
      </c>
      <c r="I14">
        <f>SUMIFS('1_Raw_Data'!F:F, '1_Raw_Data'!A:A, $A14, '1_Raw_Data'!B:B, $B14)</f>
        <v>16300</v>
      </c>
      <c r="J14" s="3">
        <f t="shared" si="2"/>
        <v>5.0576510158741976E-2</v>
      </c>
      <c r="K14" s="3">
        <f t="shared" si="3"/>
        <v>0.15418003667201466</v>
      </c>
      <c r="L14">
        <f>SUMIFS('1_Raw_Data'!G:G, '1_Raw_Data'!A:A, $A14, '1_Raw_Data'!B:B, $B14)</f>
        <v>21800</v>
      </c>
      <c r="M14" s="3">
        <f t="shared" si="4"/>
        <v>6.7642203770587439E-2</v>
      </c>
    </row>
    <row r="15" spans="1:13" x14ac:dyDescent="0.2">
      <c r="A15" s="13" t="str">
        <f>'1_Raw_Data'!A15</f>
        <v>Volkswagen</v>
      </c>
      <c r="B15">
        <f>'1_Raw_Data'!B15</f>
        <v>2024</v>
      </c>
      <c r="C15">
        <f>SUMIFS('1_Raw_Data'!D:D, '1_Raw_Data'!A:A, $A15, '1_Raw_Data'!B:B, $B15)</f>
        <v>324656</v>
      </c>
      <c r="D15">
        <f>SUMIFS('1_Raw_Data'!E:E, '1_Raw_Data'!A:A, $A15, '1_Raw_Data'!B:B, $B15)</f>
        <v>19060</v>
      </c>
      <c r="E15">
        <f>SUMIFS('1_Raw_Data'!H:H, '1_Raw_Data'!A:A, $A15, '1_Raw_Data'!B:B, $B15)</f>
        <v>9240000</v>
      </c>
      <c r="F15">
        <f>SUMIFS('1_Raw_Data'!I:I, '1_Raw_Data'!A:A, $A15, '1_Raw_Data'!B:B, $B15)</f>
        <v>771000</v>
      </c>
      <c r="G15" s="3">
        <f t="shared" si="0"/>
        <v>5.8708294317677788E-2</v>
      </c>
      <c r="H15" s="3">
        <f t="shared" si="1"/>
        <v>8.3441558441558442E-2</v>
      </c>
      <c r="I15">
        <f>SUMIFS('1_Raw_Data'!F:F, '1_Raw_Data'!A:A, $A15, '1_Raw_Data'!B:B, $B15)</f>
        <v>15800</v>
      </c>
      <c r="J15" s="3">
        <f t="shared" si="2"/>
        <v>4.8666896653688826E-2</v>
      </c>
      <c r="K15" s="3">
        <f t="shared" si="3"/>
        <v>7.3599682267813478E-3</v>
      </c>
      <c r="L15">
        <f>SUMIFS('1_Raw_Data'!G:G, '1_Raw_Data'!A:A, $A15, '1_Raw_Data'!B:B, $B15)</f>
        <v>21000</v>
      </c>
      <c r="M15" s="3">
        <f t="shared" si="4"/>
        <v>6.4683849982750979E-2</v>
      </c>
    </row>
    <row r="16" spans="1:13" x14ac:dyDescent="0.2">
      <c r="A16" s="13" t="str">
        <f>'1_Raw_Data'!A16</f>
        <v>Volkswagen</v>
      </c>
      <c r="B16">
        <f>'1_Raw_Data'!B16</f>
        <v>2025</v>
      </c>
      <c r="C16">
        <f>SUMIFS('1_Raw_Data'!D:D, '1_Raw_Data'!A:A, $A16, '1_Raw_Data'!B:B, $B16)</f>
        <v>321913</v>
      </c>
      <c r="D16">
        <f>SUMIFS('1_Raw_Data'!E:E, '1_Raw_Data'!A:A, $A16, '1_Raw_Data'!B:B, $B16)</f>
        <v>8868</v>
      </c>
      <c r="E16">
        <f>SUMIFS('1_Raw_Data'!H:H, '1_Raw_Data'!A:A, $A16, '1_Raw_Data'!B:B, $B16)</f>
        <v>8950000</v>
      </c>
      <c r="F16">
        <f>SUMIFS('1_Raw_Data'!I:I, '1_Raw_Data'!A:A, $A16, '1_Raw_Data'!B:B, $B16)</f>
        <v>710000</v>
      </c>
      <c r="G16" s="3">
        <f t="shared" si="0"/>
        <v>2.7547815714183646E-2</v>
      </c>
      <c r="H16" s="3">
        <f t="shared" si="1"/>
        <v>7.9329608938547486E-2</v>
      </c>
      <c r="I16">
        <f>SUMIFS('1_Raw_Data'!F:F, '1_Raw_Data'!A:A, $A16, '1_Raw_Data'!B:B, $B16)</f>
        <v>15000</v>
      </c>
      <c r="J16" s="3">
        <f t="shared" si="2"/>
        <v>4.6596440653219967E-2</v>
      </c>
      <c r="K16" s="3">
        <f t="shared" si="3"/>
        <v>-8.4489428810802826E-3</v>
      </c>
      <c r="L16">
        <f>SUMIFS('1_Raw_Data'!G:G, '1_Raw_Data'!A:A, $A16, '1_Raw_Data'!B:B, $B16)</f>
        <v>20500</v>
      </c>
      <c r="M16" s="3">
        <f t="shared" si="4"/>
        <v>6.3681802226067286E-2</v>
      </c>
    </row>
    <row r="17" spans="1:13" x14ac:dyDescent="0.2">
      <c r="A17" s="13" t="str">
        <f>'1_Raw_Data'!A17</f>
        <v>Porsche</v>
      </c>
      <c r="B17">
        <f>'1_Raw_Data'!B17</f>
        <v>2021</v>
      </c>
      <c r="C17">
        <f>SUMIFS('1_Raw_Data'!D:D, '1_Raw_Data'!A:A, $A17, '1_Raw_Data'!B:B, $B17)</f>
        <v>33138</v>
      </c>
      <c r="D17">
        <f>SUMIFS('1_Raw_Data'!E:E, '1_Raw_Data'!A:A, $A17, '1_Raw_Data'!B:B, $B17)</f>
        <v>5314</v>
      </c>
      <c r="E17">
        <f>SUMIFS('1_Raw_Data'!H:H, '1_Raw_Data'!A:A, $A17, '1_Raw_Data'!B:B, $B17)</f>
        <v>301915</v>
      </c>
      <c r="F17">
        <f>SUMIFS('1_Raw_Data'!I:I, '1_Raw_Data'!A:A, $A17, '1_Raw_Data'!B:B, $B17)</f>
        <v>41296</v>
      </c>
      <c r="G17" s="3">
        <f t="shared" si="0"/>
        <v>0.16035970788822501</v>
      </c>
      <c r="H17" s="3">
        <f t="shared" si="1"/>
        <v>0.13678021959823128</v>
      </c>
      <c r="I17">
        <f>SUMIFS('1_Raw_Data'!F:F, '1_Raw_Data'!A:A, $A17, '1_Raw_Data'!B:B, $B17)</f>
        <v>1400</v>
      </c>
      <c r="J17" s="3">
        <f t="shared" si="2"/>
        <v>4.2247570764681032E-2</v>
      </c>
      <c r="K17" s="3" t="str">
        <f t="shared" si="3"/>
        <v>N/A</v>
      </c>
      <c r="L17">
        <f>SUMIFS('1_Raw_Data'!G:G, '1_Raw_Data'!A:A, $A17, '1_Raw_Data'!B:B, $B17)</f>
        <v>2100</v>
      </c>
      <c r="M17" s="3">
        <f t="shared" si="4"/>
        <v>6.3371356147021551E-2</v>
      </c>
    </row>
    <row r="18" spans="1:13" x14ac:dyDescent="0.2">
      <c r="A18" s="13" t="str">
        <f>'1_Raw_Data'!A18</f>
        <v>Porsche</v>
      </c>
      <c r="B18">
        <f>'1_Raw_Data'!B18</f>
        <v>2022</v>
      </c>
      <c r="C18">
        <f>SUMIFS('1_Raw_Data'!D:D, '1_Raw_Data'!A:A, $A18, '1_Raw_Data'!B:B, $B18)</f>
        <v>37630</v>
      </c>
      <c r="D18">
        <f>SUMIFS('1_Raw_Data'!E:E, '1_Raw_Data'!A:A, $A18, '1_Raw_Data'!B:B, $B18)</f>
        <v>6770</v>
      </c>
      <c r="E18">
        <f>SUMIFS('1_Raw_Data'!H:H, '1_Raw_Data'!A:A, $A18, '1_Raw_Data'!B:B, $B18)</f>
        <v>309884</v>
      </c>
      <c r="F18">
        <f>SUMIFS('1_Raw_Data'!I:I, '1_Raw_Data'!A:A, $A18, '1_Raw_Data'!B:B, $B18)</f>
        <v>34801</v>
      </c>
      <c r="G18" s="3">
        <f t="shared" si="0"/>
        <v>0.17990964655859687</v>
      </c>
      <c r="H18" s="3">
        <f t="shared" si="1"/>
        <v>0.11230331349795407</v>
      </c>
      <c r="I18">
        <f>SUMIFS('1_Raw_Data'!F:F, '1_Raw_Data'!A:A, $A18, '1_Raw_Data'!B:B, $B18)</f>
        <v>1800</v>
      </c>
      <c r="J18" s="3">
        <f t="shared" si="2"/>
        <v>4.7834174860483657E-2</v>
      </c>
      <c r="K18" s="3">
        <f t="shared" si="3"/>
        <v>0.13555434848210512</v>
      </c>
      <c r="L18">
        <f>SUMIFS('1_Raw_Data'!G:G, '1_Raw_Data'!A:A, $A18, '1_Raw_Data'!B:B, $B18)</f>
        <v>2400</v>
      </c>
      <c r="M18" s="3">
        <f t="shared" si="4"/>
        <v>6.3778899813978204E-2</v>
      </c>
    </row>
    <row r="19" spans="1:13" x14ac:dyDescent="0.2">
      <c r="A19" s="13" t="str">
        <f>'1_Raw_Data'!A19</f>
        <v>Porsche</v>
      </c>
      <c r="B19">
        <f>'1_Raw_Data'!B19</f>
        <v>2023</v>
      </c>
      <c r="C19">
        <f>SUMIFS('1_Raw_Data'!D:D, '1_Raw_Data'!A:A, $A19, '1_Raw_Data'!B:B, $B19)</f>
        <v>40530</v>
      </c>
      <c r="D19">
        <f>SUMIFS('1_Raw_Data'!E:E, '1_Raw_Data'!A:A, $A19, '1_Raw_Data'!B:B, $B19)</f>
        <v>7284</v>
      </c>
      <c r="E19">
        <f>SUMIFS('1_Raw_Data'!H:H, '1_Raw_Data'!A:A, $A19, '1_Raw_Data'!B:B, $B19)</f>
        <v>320221</v>
      </c>
      <c r="F19">
        <f>SUMIFS('1_Raw_Data'!I:I, '1_Raw_Data'!A:A, $A19, '1_Raw_Data'!B:B, $B19)</f>
        <v>40629</v>
      </c>
      <c r="G19" s="3">
        <f t="shared" si="0"/>
        <v>0.17971872686898593</v>
      </c>
      <c r="H19" s="3">
        <f t="shared" si="1"/>
        <v>0.12687799988133194</v>
      </c>
      <c r="I19">
        <f>SUMIFS('1_Raw_Data'!F:F, '1_Raw_Data'!A:A, $A19, '1_Raw_Data'!B:B, $B19)</f>
        <v>2200</v>
      </c>
      <c r="J19" s="3">
        <f t="shared" si="2"/>
        <v>5.4280779669380705E-2</v>
      </c>
      <c r="K19" s="3">
        <f t="shared" si="3"/>
        <v>7.7066170608557E-2</v>
      </c>
      <c r="L19">
        <f>SUMIFS('1_Raw_Data'!G:G, '1_Raw_Data'!A:A, $A19, '1_Raw_Data'!B:B, $B19)</f>
        <v>2800</v>
      </c>
      <c r="M19" s="3">
        <f t="shared" si="4"/>
        <v>6.9084628670120898E-2</v>
      </c>
    </row>
    <row r="20" spans="1:13" x14ac:dyDescent="0.2">
      <c r="A20" s="13" t="str">
        <f>'1_Raw_Data'!A20</f>
        <v>Porsche</v>
      </c>
      <c r="B20">
        <f>'1_Raw_Data'!B20</f>
        <v>2024</v>
      </c>
      <c r="C20">
        <f>SUMIFS('1_Raw_Data'!D:D, '1_Raw_Data'!A:A, $A20, '1_Raw_Data'!B:B, $B20)</f>
        <v>39810</v>
      </c>
      <c r="D20">
        <f>SUMIFS('1_Raw_Data'!E:E, '1_Raw_Data'!A:A, $A20, '1_Raw_Data'!B:B, $B20)</f>
        <v>5490</v>
      </c>
      <c r="E20">
        <f>SUMIFS('1_Raw_Data'!H:H, '1_Raw_Data'!A:A, $A20, '1_Raw_Data'!B:B, $B20)</f>
        <v>297300</v>
      </c>
      <c r="F20">
        <f>SUMIFS('1_Raw_Data'!I:I, '1_Raw_Data'!A:A, $A20, '1_Raw_Data'!B:B, $B20)</f>
        <v>32100</v>
      </c>
      <c r="G20" s="3">
        <f t="shared" si="0"/>
        <v>0.13790504898266767</v>
      </c>
      <c r="H20" s="3">
        <f t="shared" si="1"/>
        <v>0.10797174571140263</v>
      </c>
      <c r="I20">
        <f>SUMIFS('1_Raw_Data'!F:F, '1_Raw_Data'!A:A, $A20, '1_Raw_Data'!B:B, $B20)</f>
        <v>2100</v>
      </c>
      <c r="J20" s="3">
        <f t="shared" si="2"/>
        <v>5.275056518462698E-2</v>
      </c>
      <c r="K20" s="3">
        <f t="shared" si="3"/>
        <v>-1.776461880088823E-2</v>
      </c>
      <c r="L20">
        <f>SUMIFS('1_Raw_Data'!G:G, '1_Raw_Data'!A:A, $A20, '1_Raw_Data'!B:B, $B20)</f>
        <v>2700</v>
      </c>
      <c r="M20" s="3">
        <f t="shared" si="4"/>
        <v>6.7822155237377543E-2</v>
      </c>
    </row>
    <row r="21" spans="1:13" x14ac:dyDescent="0.2">
      <c r="A21" s="13" t="str">
        <f>'1_Raw_Data'!A21</f>
        <v>Porsche</v>
      </c>
      <c r="B21">
        <f>'1_Raw_Data'!B21</f>
        <v>2025</v>
      </c>
      <c r="C21">
        <f>SUMIFS('1_Raw_Data'!D:D, '1_Raw_Data'!A:A, $A21, '1_Raw_Data'!B:B, $B21)</f>
        <v>38420</v>
      </c>
      <c r="D21">
        <f>SUMIFS('1_Raw_Data'!E:E, '1_Raw_Data'!A:A, $A21, '1_Raw_Data'!B:B, $B21)</f>
        <v>4910</v>
      </c>
      <c r="E21">
        <f>SUMIFS('1_Raw_Data'!H:H, '1_Raw_Data'!A:A, $A21, '1_Raw_Data'!B:B, $B21)</f>
        <v>291500</v>
      </c>
      <c r="F21">
        <f>SUMIFS('1_Raw_Data'!I:I, '1_Raw_Data'!A:A, $A21, '1_Raw_Data'!B:B, $B21)</f>
        <v>46300</v>
      </c>
      <c r="G21" s="3">
        <f t="shared" si="0"/>
        <v>0.12779802186361269</v>
      </c>
      <c r="H21" s="3">
        <f t="shared" si="1"/>
        <v>0.15883361921097769</v>
      </c>
      <c r="I21">
        <f>SUMIFS('1_Raw_Data'!F:F, '1_Raw_Data'!A:A, $A21, '1_Raw_Data'!B:B, $B21)</f>
        <v>2000</v>
      </c>
      <c r="J21" s="3">
        <f t="shared" si="2"/>
        <v>5.2056220718375845E-2</v>
      </c>
      <c r="K21" s="3">
        <f t="shared" si="3"/>
        <v>-3.491585028887214E-2</v>
      </c>
      <c r="L21">
        <f>SUMIFS('1_Raw_Data'!G:G, '1_Raw_Data'!A:A, $A21, '1_Raw_Data'!B:B, $B21)</f>
        <v>2600</v>
      </c>
      <c r="M21" s="3">
        <f t="shared" si="4"/>
        <v>6.7673086933888599E-2</v>
      </c>
    </row>
    <row r="22" spans="1:13" x14ac:dyDescent="0.2">
      <c r="A22" s="13" t="str">
        <f>'1_Raw_Data'!A22</f>
        <v>Tesla</v>
      </c>
      <c r="B22">
        <f>'1_Raw_Data'!B22</f>
        <v>2021</v>
      </c>
      <c r="C22">
        <f>SUMIFS('1_Raw_Data'!D:D, '1_Raw_Data'!A:A, $A22, '1_Raw_Data'!B:B, $B22)</f>
        <v>49517.16</v>
      </c>
      <c r="D22">
        <f>SUMIFS('1_Raw_Data'!E:E, '1_Raw_Data'!A:A, $A22, '1_Raw_Data'!B:B, $B22)</f>
        <v>6001.16</v>
      </c>
      <c r="E22">
        <f>SUMIFS('1_Raw_Data'!H:H, '1_Raw_Data'!A:A, $A22, '1_Raw_Data'!B:B, $B22)</f>
        <v>936172</v>
      </c>
      <c r="F22">
        <f>SUMIFS('1_Raw_Data'!I:I, '1_Raw_Data'!A:A, $A22, '1_Raw_Data'!B:B, $B22)</f>
        <v>936172</v>
      </c>
      <c r="G22" s="3">
        <f t="shared" si="0"/>
        <v>0.12119354179440016</v>
      </c>
      <c r="H22" s="3">
        <f t="shared" si="1"/>
        <v>1</v>
      </c>
      <c r="I22">
        <f>SUMIFS('1_Raw_Data'!F:F, '1_Raw_Data'!A:A, $A22, '1_Raw_Data'!B:B, $B22)</f>
        <v>5963.44</v>
      </c>
      <c r="J22" s="3">
        <f t="shared" si="2"/>
        <v>0.12043178566783716</v>
      </c>
      <c r="K22" s="3" t="str">
        <f t="shared" si="3"/>
        <v>N/A</v>
      </c>
      <c r="L22">
        <f>SUMIFS('1_Raw_Data'!G:G, '1_Raw_Data'!A:A, $A22, '1_Raw_Data'!B:B, $B22)</f>
        <v>2385.56</v>
      </c>
      <c r="M22" s="3">
        <f t="shared" si="4"/>
        <v>4.8176430150679073E-2</v>
      </c>
    </row>
    <row r="23" spans="1:13" x14ac:dyDescent="0.2">
      <c r="A23" s="13" t="str">
        <f>'1_Raw_Data'!A23</f>
        <v>Tesla</v>
      </c>
      <c r="B23">
        <f>'1_Raw_Data'!B23</f>
        <v>2022</v>
      </c>
      <c r="C23">
        <f>SUMIFS('1_Raw_Data'!D:D, '1_Raw_Data'!A:A, $A23, '1_Raw_Data'!B:B, $B23)</f>
        <v>74945.039999999994</v>
      </c>
      <c r="D23">
        <f>SUMIFS('1_Raw_Data'!E:E, '1_Raw_Data'!A:A, $A23, '1_Raw_Data'!B:B, $B23)</f>
        <v>12563.52</v>
      </c>
      <c r="E23">
        <f>SUMIFS('1_Raw_Data'!H:H, '1_Raw_Data'!A:A, $A23, '1_Raw_Data'!B:B, $B23)</f>
        <v>1313851</v>
      </c>
      <c r="F23">
        <f>SUMIFS('1_Raw_Data'!I:I, '1_Raw_Data'!A:A, $A23, '1_Raw_Data'!B:B, $B23)</f>
        <v>1313851</v>
      </c>
      <c r="G23" s="3">
        <f t="shared" si="0"/>
        <v>0.16763644398615307</v>
      </c>
      <c r="H23" s="3">
        <f t="shared" si="1"/>
        <v>1</v>
      </c>
      <c r="I23">
        <f>SUMIFS('1_Raw_Data'!F:F, '1_Raw_Data'!A:A, $A23, '1_Raw_Data'!B:B, $B23)</f>
        <v>6585.36</v>
      </c>
      <c r="J23" s="3">
        <f t="shared" si="2"/>
        <v>8.7869190542829795E-2</v>
      </c>
      <c r="K23" s="3">
        <f t="shared" si="3"/>
        <v>0.51351652639206269</v>
      </c>
      <c r="L23">
        <f>SUMIFS('1_Raw_Data'!G:G, '1_Raw_Data'!A:A, $A23, '1_Raw_Data'!B:B, $B23)</f>
        <v>2829</v>
      </c>
      <c r="M23" s="3">
        <f t="shared" si="4"/>
        <v>3.7747661486337195E-2</v>
      </c>
    </row>
    <row r="24" spans="1:13" x14ac:dyDescent="0.2">
      <c r="A24" s="13" t="str">
        <f>'1_Raw_Data'!A24</f>
        <v>Tesla</v>
      </c>
      <c r="B24">
        <f>'1_Raw_Data'!B24</f>
        <v>2023</v>
      </c>
      <c r="C24">
        <f>SUMIFS('1_Raw_Data'!D:D, '1_Raw_Data'!A:A, $A24, '1_Raw_Data'!B:B, $B24)</f>
        <v>89031.16</v>
      </c>
      <c r="D24">
        <f>SUMIFS('1_Raw_Data'!E:E, '1_Raw_Data'!A:A, $A24, '1_Raw_Data'!B:B, $B24)</f>
        <v>8179.72</v>
      </c>
      <c r="E24">
        <f>SUMIFS('1_Raw_Data'!H:H, '1_Raw_Data'!A:A, $A24, '1_Raw_Data'!B:B, $B24)</f>
        <v>1808581</v>
      </c>
      <c r="F24">
        <f>SUMIFS('1_Raw_Data'!I:I, '1_Raw_Data'!A:A, $A24, '1_Raw_Data'!B:B, $B24)</f>
        <v>1808581</v>
      </c>
      <c r="G24" s="3">
        <f t="shared" si="0"/>
        <v>9.1874799789197395E-2</v>
      </c>
      <c r="H24" s="3">
        <f t="shared" si="1"/>
        <v>1</v>
      </c>
      <c r="I24">
        <f>SUMIFS('1_Raw_Data'!F:F, '1_Raw_Data'!A:A, $A24, '1_Raw_Data'!B:B, $B24)</f>
        <v>8187.08</v>
      </c>
      <c r="J24" s="3">
        <f t="shared" si="2"/>
        <v>9.1957467475432195E-2</v>
      </c>
      <c r="K24" s="3">
        <f t="shared" si="3"/>
        <v>0.18795266504627939</v>
      </c>
      <c r="L24">
        <f>SUMIFS('1_Raw_Data'!G:G, '1_Raw_Data'!A:A, $A24, '1_Raw_Data'!B:B, $B24)</f>
        <v>3651.48</v>
      </c>
      <c r="M24" s="3">
        <f t="shared" si="4"/>
        <v>4.1013505833238609E-2</v>
      </c>
    </row>
    <row r="25" spans="1:13" x14ac:dyDescent="0.2">
      <c r="A25" s="13" t="str">
        <f>'1_Raw_Data'!A25</f>
        <v>Tesla</v>
      </c>
      <c r="B25">
        <f>'1_Raw_Data'!B25</f>
        <v>2024</v>
      </c>
      <c r="C25">
        <f>SUMIFS('1_Raw_Data'!D:D, '1_Raw_Data'!A:A, $A25, '1_Raw_Data'!B:B, $B25)</f>
        <v>90620</v>
      </c>
      <c r="D25">
        <f>SUMIFS('1_Raw_Data'!E:E, '1_Raw_Data'!A:A, $A25, '1_Raw_Data'!B:B, $B25)</f>
        <v>6808</v>
      </c>
      <c r="E25">
        <f>SUMIFS('1_Raw_Data'!H:H, '1_Raw_Data'!A:A, $A25, '1_Raw_Data'!B:B, $B25)</f>
        <v>1800580</v>
      </c>
      <c r="F25">
        <f>SUMIFS('1_Raw_Data'!I:I, '1_Raw_Data'!A:A, $A25, '1_Raw_Data'!B:B, $B25)</f>
        <v>1800580</v>
      </c>
      <c r="G25" s="3">
        <f t="shared" si="0"/>
        <v>7.5126903553299498E-2</v>
      </c>
      <c r="H25" s="3">
        <f t="shared" si="1"/>
        <v>1</v>
      </c>
      <c r="I25">
        <f>SUMIFS('1_Raw_Data'!F:F, '1_Raw_Data'!A:A, $A25, '1_Raw_Data'!B:B, $B25)</f>
        <v>7820</v>
      </c>
      <c r="J25" s="3">
        <f t="shared" si="2"/>
        <v>8.6294416243654817E-2</v>
      </c>
      <c r="K25" s="3">
        <f t="shared" si="3"/>
        <v>1.7845886765936739E-2</v>
      </c>
      <c r="L25">
        <f>SUMIFS('1_Raw_Data'!G:G, '1_Raw_Data'!A:A, $A25, '1_Raw_Data'!B:B, $B25)</f>
        <v>3772</v>
      </c>
      <c r="M25" s="3">
        <f t="shared" si="4"/>
        <v>4.16243654822335E-2</v>
      </c>
    </row>
    <row r="26" spans="1:13" x14ac:dyDescent="0.2">
      <c r="A26" s="13" t="str">
        <f>'1_Raw_Data'!A26</f>
        <v>Tesla</v>
      </c>
      <c r="B26">
        <f>'1_Raw_Data'!B26</f>
        <v>2025</v>
      </c>
      <c r="C26">
        <f>SUMIFS('1_Raw_Data'!D:D, '1_Raw_Data'!A:A, $A26, '1_Raw_Data'!B:B, $B26)</f>
        <v>97980</v>
      </c>
      <c r="D26">
        <f>SUMIFS('1_Raw_Data'!E:E, '1_Raw_Data'!A:A, $A26, '1_Raw_Data'!B:B, $B26)</f>
        <v>8050</v>
      </c>
      <c r="E26">
        <f>SUMIFS('1_Raw_Data'!H:H, '1_Raw_Data'!A:A, $A26, '1_Raw_Data'!B:B, $B26)</f>
        <v>2110400</v>
      </c>
      <c r="F26">
        <f>SUMIFS('1_Raw_Data'!I:I, '1_Raw_Data'!A:A, $A26, '1_Raw_Data'!B:B, $B26)</f>
        <v>2110400</v>
      </c>
      <c r="G26" s="3">
        <f t="shared" si="0"/>
        <v>8.2159624413145546E-2</v>
      </c>
      <c r="H26" s="3">
        <f t="shared" si="1"/>
        <v>1</v>
      </c>
      <c r="I26">
        <f>SUMIFS('1_Raw_Data'!F:F, '1_Raw_Data'!A:A, $A26, '1_Raw_Data'!B:B, $B26)</f>
        <v>8464</v>
      </c>
      <c r="J26" s="3">
        <f t="shared" si="2"/>
        <v>8.6384976525821597E-2</v>
      </c>
      <c r="K26" s="3">
        <f t="shared" si="3"/>
        <v>8.1218274111675121E-2</v>
      </c>
      <c r="L26">
        <f>SUMIFS('1_Raw_Data'!G:G, '1_Raw_Data'!A:A, $A26, '1_Raw_Data'!B:B, $B26)</f>
        <v>4140</v>
      </c>
      <c r="M26" s="3">
        <f t="shared" si="4"/>
        <v>4.2253521126760563E-2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4A38-E109-3B4A-9DC5-2005988062A9}">
  <dimension ref="A3:O24"/>
  <sheetViews>
    <sheetView workbookViewId="0">
      <selection activeCell="G26" sqref="G26"/>
    </sheetView>
  </sheetViews>
  <sheetFormatPr baseColWidth="10" defaultRowHeight="16" x14ac:dyDescent="0.2"/>
  <cols>
    <col min="1" max="1" width="22.33203125" customWidth="1"/>
    <col min="2" max="2" width="16" bestFit="1" customWidth="1"/>
    <col min="3" max="4" width="11.1640625" bestFit="1" customWidth="1"/>
    <col min="5" max="6" width="9.1640625" bestFit="1" customWidth="1"/>
    <col min="7" max="7" width="12.1640625" bestFit="1" customWidth="1"/>
    <col min="9" max="9" width="17.5" bestFit="1" customWidth="1"/>
    <col min="10" max="10" width="16" bestFit="1" customWidth="1"/>
    <col min="11" max="14" width="8.1640625" bestFit="1" customWidth="1"/>
    <col min="15" max="15" width="10.5" bestFit="1" customWidth="1"/>
    <col min="16" max="16" width="12.1640625" bestFit="1" customWidth="1"/>
  </cols>
  <sheetData>
    <row r="3" spans="1:15" x14ac:dyDescent="0.2">
      <c r="A3" s="4" t="s">
        <v>26</v>
      </c>
      <c r="B3" s="4" t="s">
        <v>25</v>
      </c>
      <c r="I3" s="4" t="s">
        <v>31</v>
      </c>
      <c r="J3" s="4" t="s">
        <v>25</v>
      </c>
    </row>
    <row r="4" spans="1:15" x14ac:dyDescent="0.2">
      <c r="A4" s="4" t="s">
        <v>23</v>
      </c>
      <c r="B4">
        <v>2021</v>
      </c>
      <c r="C4">
        <v>2022</v>
      </c>
      <c r="D4">
        <v>2023</v>
      </c>
      <c r="E4">
        <v>2024</v>
      </c>
      <c r="F4">
        <v>2025</v>
      </c>
      <c r="G4" t="s">
        <v>24</v>
      </c>
      <c r="I4" s="4" t="s">
        <v>23</v>
      </c>
      <c r="J4">
        <v>2021</v>
      </c>
      <c r="K4">
        <v>2022</v>
      </c>
      <c r="L4">
        <v>2023</v>
      </c>
      <c r="M4">
        <v>2024</v>
      </c>
      <c r="N4">
        <v>2025</v>
      </c>
      <c r="O4" t="s">
        <v>24</v>
      </c>
    </row>
    <row r="5" spans="1:15" x14ac:dyDescent="0.2">
      <c r="A5" s="5" t="s">
        <v>4</v>
      </c>
      <c r="B5" s="3">
        <v>0.14437382572658869</v>
      </c>
      <c r="C5" s="3">
        <v>0.16484818736413998</v>
      </c>
      <c r="D5" s="3">
        <v>0.10994353625127011</v>
      </c>
      <c r="E5" s="3">
        <v>7.1892119679730304E-2</v>
      </c>
      <c r="F5" s="3">
        <v>7.3771290266985382E-2</v>
      </c>
      <c r="G5" s="3">
        <v>0.11296579185774289</v>
      </c>
      <c r="I5" s="5" t="s">
        <v>4</v>
      </c>
      <c r="J5" s="3">
        <v>4.1187556364945824E-2</v>
      </c>
      <c r="K5" s="3">
        <v>8.9910452936116866E-2</v>
      </c>
      <c r="L5" s="3">
        <v>0.14728114626085914</v>
      </c>
      <c r="M5" s="3">
        <v>0.15330253540252339</v>
      </c>
      <c r="N5" s="3">
        <v>0.16737150629484904</v>
      </c>
      <c r="O5" s="3">
        <v>0.11981063945185885</v>
      </c>
    </row>
    <row r="6" spans="1:15" x14ac:dyDescent="0.2">
      <c r="A6" s="5" t="s">
        <v>6</v>
      </c>
      <c r="B6" s="3">
        <v>0.10436691985391319</v>
      </c>
      <c r="C6" s="3">
        <v>0.13637121126272356</v>
      </c>
      <c r="D6" s="3">
        <v>0.12846401858789439</v>
      </c>
      <c r="E6" s="3">
        <v>9.527321488434462E-2</v>
      </c>
      <c r="F6" s="3">
        <v>8.0042313117066291E-2</v>
      </c>
      <c r="G6" s="3">
        <v>0.10890353554118841</v>
      </c>
      <c r="I6" s="5" t="s">
        <v>6</v>
      </c>
      <c r="J6" s="3">
        <v>4.2614934796574841E-2</v>
      </c>
      <c r="K6" s="3">
        <v>6.0731876093947167E-2</v>
      </c>
      <c r="L6" s="3">
        <v>9.6588537485952808E-2</v>
      </c>
      <c r="M6" s="3">
        <v>9.4389689158453374E-2</v>
      </c>
      <c r="N6" s="3">
        <v>8.5665674181199483E-2</v>
      </c>
      <c r="O6" s="3">
        <v>7.5998142343225522E-2</v>
      </c>
    </row>
    <row r="7" spans="1:15" x14ac:dyDescent="0.2">
      <c r="A7" s="5" t="s">
        <v>8</v>
      </c>
      <c r="B7" s="3">
        <v>0.16035970788822501</v>
      </c>
      <c r="C7" s="3">
        <v>0.17990964655859687</v>
      </c>
      <c r="D7" s="3">
        <v>0.17971872686898593</v>
      </c>
      <c r="E7" s="3">
        <v>0.13790504898266767</v>
      </c>
      <c r="F7" s="3">
        <v>0.12779802186361269</v>
      </c>
      <c r="G7" s="3">
        <v>0.15713823043241762</v>
      </c>
      <c r="I7" s="5" t="s">
        <v>8</v>
      </c>
      <c r="J7" s="3">
        <v>0.13678021959823128</v>
      </c>
      <c r="K7" s="3">
        <v>0.11230331349795407</v>
      </c>
      <c r="L7" s="3">
        <v>0.12687799988133194</v>
      </c>
      <c r="M7" s="3">
        <v>0.10797174571140263</v>
      </c>
      <c r="N7" s="3">
        <v>0.15883361921097769</v>
      </c>
      <c r="O7" s="3">
        <v>0.12855337957997953</v>
      </c>
    </row>
    <row r="8" spans="1:15" x14ac:dyDescent="0.2">
      <c r="A8" s="5" t="s">
        <v>9</v>
      </c>
      <c r="B8" s="3">
        <v>0.12119354179440016</v>
      </c>
      <c r="C8" s="3">
        <v>0.16763644398615307</v>
      </c>
      <c r="D8" s="3">
        <v>9.1874799789197395E-2</v>
      </c>
      <c r="E8" s="3">
        <v>7.5126903553299498E-2</v>
      </c>
      <c r="F8" s="3">
        <v>8.2159624413145546E-2</v>
      </c>
      <c r="G8" s="3">
        <v>0.10759826270723913</v>
      </c>
      <c r="I8" s="5" t="s">
        <v>9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</row>
    <row r="9" spans="1:15" x14ac:dyDescent="0.2">
      <c r="A9" s="5" t="s">
        <v>7</v>
      </c>
      <c r="B9" s="3">
        <v>7.7038369304556362E-2</v>
      </c>
      <c r="C9" s="3">
        <v>7.9231606692642675E-2</v>
      </c>
      <c r="D9" s="3">
        <v>7.0050017996549627E-2</v>
      </c>
      <c r="E9" s="3">
        <v>5.8708294317677788E-2</v>
      </c>
      <c r="F9" s="3">
        <v>2.7547815714183646E-2</v>
      </c>
      <c r="G9" s="3">
        <v>6.2515220805122021E-2</v>
      </c>
      <c r="I9" s="5" t="s">
        <v>7</v>
      </c>
      <c r="J9" s="3">
        <v>5.0990767845079936E-2</v>
      </c>
      <c r="K9" s="3">
        <v>6.9238030691775185E-2</v>
      </c>
      <c r="L9" s="3">
        <v>8.3456897018236914E-2</v>
      </c>
      <c r="M9" s="3">
        <v>8.3441558441558442E-2</v>
      </c>
      <c r="N9" s="3">
        <v>7.9329608938547486E-2</v>
      </c>
      <c r="O9" s="3">
        <v>7.3291372587039591E-2</v>
      </c>
    </row>
    <row r="10" spans="1:15" x14ac:dyDescent="0.2">
      <c r="A10" s="5" t="s">
        <v>24</v>
      </c>
      <c r="B10" s="3">
        <v>0.12146647291353667</v>
      </c>
      <c r="C10" s="3">
        <v>0.14559941917285121</v>
      </c>
      <c r="D10" s="3">
        <v>0.11601021989877949</v>
      </c>
      <c r="E10" s="3">
        <v>8.7781116283543972E-2</v>
      </c>
      <c r="F10" s="3">
        <v>7.8263813074998717E-2</v>
      </c>
      <c r="G10" s="3">
        <v>0.10982420826874201</v>
      </c>
      <c r="I10" s="5" t="s">
        <v>24</v>
      </c>
      <c r="J10" s="3">
        <v>0.25431469572096638</v>
      </c>
      <c r="K10" s="3">
        <v>0.26643673464395867</v>
      </c>
      <c r="L10" s="3">
        <v>0.29084091612927621</v>
      </c>
      <c r="M10" s="3">
        <v>0.28782110574278758</v>
      </c>
      <c r="N10" s="3">
        <v>0.29824008172511479</v>
      </c>
      <c r="O10" s="3">
        <v>0.2795307067924207</v>
      </c>
    </row>
    <row r="17" spans="1:15" x14ac:dyDescent="0.2">
      <c r="A17" s="4" t="s">
        <v>27</v>
      </c>
      <c r="B17" s="4" t="s">
        <v>25</v>
      </c>
      <c r="I17" s="4" t="s">
        <v>30</v>
      </c>
      <c r="J17" s="4" t="s">
        <v>25</v>
      </c>
    </row>
    <row r="18" spans="1:15" x14ac:dyDescent="0.2">
      <c r="A18" s="4" t="s">
        <v>23</v>
      </c>
      <c r="B18">
        <v>2021</v>
      </c>
      <c r="C18">
        <v>2022</v>
      </c>
      <c r="D18">
        <v>2023</v>
      </c>
      <c r="E18">
        <v>2024</v>
      </c>
      <c r="F18">
        <v>2025</v>
      </c>
      <c r="G18" t="s">
        <v>24</v>
      </c>
      <c r="I18" s="4" t="s">
        <v>23</v>
      </c>
      <c r="J18">
        <v>2021</v>
      </c>
      <c r="K18">
        <v>2022</v>
      </c>
      <c r="L18">
        <v>2023</v>
      </c>
      <c r="M18">
        <v>2024</v>
      </c>
      <c r="N18">
        <v>2025</v>
      </c>
      <c r="O18" t="s">
        <v>24</v>
      </c>
    </row>
    <row r="19" spans="1:15" x14ac:dyDescent="0.2">
      <c r="A19" s="5" t="s">
        <v>4</v>
      </c>
      <c r="B19" s="1">
        <v>111239</v>
      </c>
      <c r="C19" s="1">
        <v>142610</v>
      </c>
      <c r="D19" s="1">
        <v>155498</v>
      </c>
      <c r="E19" s="1">
        <v>142380</v>
      </c>
      <c r="F19" s="1">
        <v>133453</v>
      </c>
      <c r="G19" s="1">
        <v>137036</v>
      </c>
      <c r="I19" s="5" t="s">
        <v>4</v>
      </c>
      <c r="J19" s="3">
        <v>4.5056140382419833E-2</v>
      </c>
      <c r="K19" s="3">
        <v>5.0340088352850434E-2</v>
      </c>
      <c r="L19" s="3">
        <v>5.6823881979189445E-2</v>
      </c>
      <c r="M19" s="3">
        <v>5.9699395982581824E-2</v>
      </c>
      <c r="N19" s="3">
        <v>6.0695525765625348E-2</v>
      </c>
      <c r="O19" s="3">
        <v>5.4523006492533374E-2</v>
      </c>
    </row>
    <row r="20" spans="1:15" x14ac:dyDescent="0.2">
      <c r="A20" s="5" t="s">
        <v>6</v>
      </c>
      <c r="B20" s="1">
        <v>133893</v>
      </c>
      <c r="C20" s="1">
        <v>150017</v>
      </c>
      <c r="D20" s="1">
        <v>153218</v>
      </c>
      <c r="E20" s="1">
        <v>149150</v>
      </c>
      <c r="F20" s="1">
        <v>141800</v>
      </c>
      <c r="G20" s="1">
        <v>145615.6</v>
      </c>
      <c r="I20" s="5" t="s">
        <v>6</v>
      </c>
      <c r="J20" s="3">
        <v>3.4355791564906306E-2</v>
      </c>
      <c r="K20" s="3">
        <v>3.4662738223001394E-2</v>
      </c>
      <c r="L20" s="3">
        <v>4.1117884321685443E-2</v>
      </c>
      <c r="M20" s="3">
        <v>4.0898424404961449E-2</v>
      </c>
      <c r="N20" s="3">
        <v>4.0902679830747531E-2</v>
      </c>
      <c r="O20" s="3">
        <v>3.8387503669060422E-2</v>
      </c>
    </row>
    <row r="21" spans="1:15" x14ac:dyDescent="0.2">
      <c r="A21" s="5" t="s">
        <v>8</v>
      </c>
      <c r="B21" s="1">
        <v>33138</v>
      </c>
      <c r="C21" s="1">
        <v>37630</v>
      </c>
      <c r="D21" s="1">
        <v>40530</v>
      </c>
      <c r="E21" s="1">
        <v>39810</v>
      </c>
      <c r="F21" s="1">
        <v>38420</v>
      </c>
      <c r="G21" s="1">
        <v>37905.599999999999</v>
      </c>
      <c r="I21" s="5" t="s">
        <v>8</v>
      </c>
      <c r="J21" s="3">
        <v>4.2247570764681032E-2</v>
      </c>
      <c r="K21" s="3">
        <v>4.7834174860483657E-2</v>
      </c>
      <c r="L21" s="3">
        <v>5.4280779669380705E-2</v>
      </c>
      <c r="M21" s="3">
        <v>5.275056518462698E-2</v>
      </c>
      <c r="N21" s="3">
        <v>5.2056220718375845E-2</v>
      </c>
      <c r="O21" s="3">
        <v>4.9833862239509648E-2</v>
      </c>
    </row>
    <row r="22" spans="1:15" x14ac:dyDescent="0.2">
      <c r="A22" s="5" t="s">
        <v>9</v>
      </c>
      <c r="B22" s="1">
        <v>49517.16</v>
      </c>
      <c r="C22" s="1">
        <v>74945.039999999994</v>
      </c>
      <c r="D22" s="1">
        <v>89031.16</v>
      </c>
      <c r="E22" s="1">
        <v>90620</v>
      </c>
      <c r="F22" s="1">
        <v>97980</v>
      </c>
      <c r="G22" s="1">
        <v>80418.671999999991</v>
      </c>
      <c r="I22" s="5" t="s">
        <v>9</v>
      </c>
      <c r="J22" s="3">
        <v>0.12043178566783716</v>
      </c>
      <c r="K22" s="3">
        <v>8.7869190542829795E-2</v>
      </c>
      <c r="L22" s="3">
        <v>9.1957467475432195E-2</v>
      </c>
      <c r="M22" s="3">
        <v>8.6294416243654817E-2</v>
      </c>
      <c r="N22" s="3">
        <v>8.6384976525821597E-2</v>
      </c>
      <c r="O22" s="3">
        <v>9.4587567291115116E-2</v>
      </c>
    </row>
    <row r="23" spans="1:15" x14ac:dyDescent="0.2">
      <c r="A23" s="5" t="s">
        <v>7</v>
      </c>
      <c r="B23" s="1">
        <v>250200</v>
      </c>
      <c r="C23" s="1">
        <v>279232</v>
      </c>
      <c r="D23" s="1">
        <v>322284</v>
      </c>
      <c r="E23" s="1">
        <v>324656</v>
      </c>
      <c r="F23" s="1">
        <v>321913</v>
      </c>
      <c r="G23" s="1">
        <v>299657</v>
      </c>
      <c r="I23" s="5" t="s">
        <v>7</v>
      </c>
      <c r="J23" s="3">
        <v>4.1966426858513192E-2</v>
      </c>
      <c r="K23" s="3">
        <v>4.5481893192757278E-2</v>
      </c>
      <c r="L23" s="3">
        <v>5.0576510158741976E-2</v>
      </c>
      <c r="M23" s="3">
        <v>4.8666896653688826E-2</v>
      </c>
      <c r="N23" s="3">
        <v>4.6596440653219967E-2</v>
      </c>
      <c r="O23" s="3">
        <v>4.6657633503384248E-2</v>
      </c>
    </row>
    <row r="24" spans="1:15" x14ac:dyDescent="0.2">
      <c r="A24" s="5" t="s">
        <v>24</v>
      </c>
      <c r="B24" s="1">
        <v>115597.432</v>
      </c>
      <c r="C24" s="1">
        <v>136886.80800000002</v>
      </c>
      <c r="D24" s="1">
        <v>152112.23200000002</v>
      </c>
      <c r="E24" s="1">
        <v>149323.20000000001</v>
      </c>
      <c r="F24" s="1">
        <v>146713.20000000001</v>
      </c>
      <c r="G24" s="1">
        <v>140126.57439999998</v>
      </c>
      <c r="I24" s="5" t="s">
        <v>24</v>
      </c>
      <c r="J24" s="3">
        <v>5.6811543047671512E-2</v>
      </c>
      <c r="K24" s="3">
        <v>5.323761703438451E-2</v>
      </c>
      <c r="L24" s="3">
        <v>5.8951304720885958E-2</v>
      </c>
      <c r="M24" s="3">
        <v>5.7661939693902785E-2</v>
      </c>
      <c r="N24" s="3">
        <v>5.732716869875807E-2</v>
      </c>
      <c r="O24" s="3">
        <v>5.679791463912056E-2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46BC0-C77B-BB4F-AFD5-68BF9CAB5895}">
  <dimension ref="A1:B13"/>
  <sheetViews>
    <sheetView showGridLines="0" tabSelected="1" zoomScale="143" workbookViewId="0">
      <selection activeCell="B8" sqref="B8"/>
    </sheetView>
  </sheetViews>
  <sheetFormatPr baseColWidth="10" defaultRowHeight="16" x14ac:dyDescent="0.2"/>
  <cols>
    <col min="2" max="2" width="120.83203125" style="9" customWidth="1"/>
  </cols>
  <sheetData>
    <row r="1" spans="1:2" ht="46" x14ac:dyDescent="0.3">
      <c r="A1" s="6"/>
      <c r="B1" s="11" t="s">
        <v>34</v>
      </c>
    </row>
    <row r="3" spans="1:2" ht="19" x14ac:dyDescent="0.25">
      <c r="B3" s="10" t="s">
        <v>35</v>
      </c>
    </row>
    <row r="4" spans="1:2" ht="34" x14ac:dyDescent="0.2">
      <c r="B4" s="8" t="s">
        <v>33</v>
      </c>
    </row>
    <row r="6" spans="1:2" ht="19" x14ac:dyDescent="0.25">
      <c r="B6" s="10" t="s">
        <v>36</v>
      </c>
    </row>
    <row r="7" spans="1:2" ht="34" x14ac:dyDescent="0.2">
      <c r="B7" s="8" t="s">
        <v>37</v>
      </c>
    </row>
    <row r="9" spans="1:2" ht="19" x14ac:dyDescent="0.25">
      <c r="B9" s="10" t="s">
        <v>38</v>
      </c>
    </row>
    <row r="10" spans="1:2" ht="51" x14ac:dyDescent="0.2">
      <c r="B10" s="8" t="s">
        <v>39</v>
      </c>
    </row>
    <row r="12" spans="1:2" ht="19" x14ac:dyDescent="0.25">
      <c r="B12" s="10" t="s">
        <v>40</v>
      </c>
    </row>
    <row r="13" spans="1:2" ht="34" x14ac:dyDescent="0.2">
      <c r="B13" s="8" t="s">
        <v>57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F98D-D6B7-764C-8228-00CC1A3DFB88}">
  <dimension ref="B2:D14"/>
  <sheetViews>
    <sheetView workbookViewId="0">
      <selection activeCell="B2" sqref="B2:D14"/>
    </sheetView>
  </sheetViews>
  <sheetFormatPr baseColWidth="10" defaultRowHeight="16" x14ac:dyDescent="0.2"/>
  <cols>
    <col min="2" max="2" width="26" customWidth="1"/>
    <col min="3" max="3" width="57.6640625" customWidth="1"/>
    <col min="4" max="4" width="21" customWidth="1"/>
  </cols>
  <sheetData>
    <row r="2" spans="2:4" x14ac:dyDescent="0.2">
      <c r="B2" t="s">
        <v>41</v>
      </c>
      <c r="C2" t="s">
        <v>56</v>
      </c>
      <c r="D2" s="7">
        <v>0.35</v>
      </c>
    </row>
    <row r="3" spans="2:4" x14ac:dyDescent="0.2">
      <c r="B3" t="s">
        <v>54</v>
      </c>
      <c r="C3" s="12" t="s">
        <v>42</v>
      </c>
    </row>
    <row r="5" spans="2:4" x14ac:dyDescent="0.2">
      <c r="B5" t="s">
        <v>43</v>
      </c>
      <c r="C5" t="s">
        <v>44</v>
      </c>
    </row>
    <row r="6" spans="2:4" x14ac:dyDescent="0.2">
      <c r="B6" t="s">
        <v>45</v>
      </c>
      <c r="C6" s="3">
        <f>'2_KPI_Analysis'!G6</f>
        <v>7.3771290266985382E-2</v>
      </c>
    </row>
    <row r="7" spans="2:4" x14ac:dyDescent="0.2">
      <c r="B7" t="s">
        <v>55</v>
      </c>
    </row>
    <row r="9" spans="2:4" x14ac:dyDescent="0.2">
      <c r="B9" t="s">
        <v>46</v>
      </c>
      <c r="C9" t="s">
        <v>47</v>
      </c>
      <c r="D9" t="s">
        <v>53</v>
      </c>
    </row>
    <row r="10" spans="2:4" x14ac:dyDescent="0.2">
      <c r="B10" s="7">
        <v>-0.3</v>
      </c>
      <c r="C10" t="s">
        <v>48</v>
      </c>
      <c r="D10" s="3">
        <f>$C$6 - (B10 * $D$2)</f>
        <v>0.17877129026698538</v>
      </c>
    </row>
    <row r="11" spans="2:4" x14ac:dyDescent="0.2">
      <c r="B11" s="7">
        <v>-0.15</v>
      </c>
      <c r="C11" t="s">
        <v>49</v>
      </c>
      <c r="D11" s="3">
        <f t="shared" ref="D11:D14" si="0">$C$6 - (B11 * $D$2)</f>
        <v>0.12627129026698539</v>
      </c>
    </row>
    <row r="12" spans="2:4" x14ac:dyDescent="0.2">
      <c r="B12" s="7">
        <v>0</v>
      </c>
      <c r="C12" t="s">
        <v>50</v>
      </c>
      <c r="D12" s="3">
        <f t="shared" si="0"/>
        <v>7.3771290266985382E-2</v>
      </c>
    </row>
    <row r="13" spans="2:4" x14ac:dyDescent="0.2">
      <c r="B13" s="7">
        <v>0.15</v>
      </c>
      <c r="C13" t="s">
        <v>51</v>
      </c>
      <c r="D13" s="3">
        <f t="shared" si="0"/>
        <v>2.1271290266985383E-2</v>
      </c>
    </row>
    <row r="14" spans="2:4" x14ac:dyDescent="0.2">
      <c r="B14" s="7">
        <v>0.3</v>
      </c>
      <c r="C14" t="s">
        <v>52</v>
      </c>
      <c r="D14" s="3">
        <f t="shared" si="0"/>
        <v>-3.1228709733014615E-2</v>
      </c>
    </row>
  </sheetData>
  <hyperlinks>
    <hyperlink ref="C3" r:id="rId1" xr:uid="{2E113827-26DB-684A-AA10-567A97AACE5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2604DD-1BAC-6C4D-9931-EC5E3916E0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1_Raw_Data</vt:lpstr>
      <vt:lpstr>2_KPI_Analysis</vt:lpstr>
      <vt:lpstr>3_Pivot_Analysis</vt:lpstr>
      <vt:lpstr>4_Strategic_Analysis</vt:lpstr>
      <vt:lpstr>5_Scenario_Analysis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Malik</dc:creator>
  <cp:lastModifiedBy>Abdullah Malik</cp:lastModifiedBy>
  <dcterms:created xsi:type="dcterms:W3CDTF">2026-06-17T22:40:20Z</dcterms:created>
  <dcterms:modified xsi:type="dcterms:W3CDTF">2026-06-25T13:27:06Z</dcterms:modified>
</cp:coreProperties>
</file>